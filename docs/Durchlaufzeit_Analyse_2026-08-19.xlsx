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ustinEskofier\Projekt Auftragsbearbeitung\docs\"/>
    </mc:Choice>
  </mc:AlternateContent>
  <xr:revisionPtr revIDLastSave="0" documentId="13_ncr:1_{7A8E0BDE-E12D-4DB4-BC1C-EEEAAEED8CF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Übersicht" sheetId="1" r:id="rId1"/>
    <sheet name="Rohdaten AMM" sheetId="2" r:id="rId2"/>
    <sheet name="Rohdaten Pipeline" sheetId="3" r:id="rId3"/>
    <sheet name="Kundenlist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3" i="4" l="1"/>
  <c r="F83" i="4"/>
  <c r="E83" i="4"/>
  <c r="D83" i="4" a="1"/>
  <c r="D83" i="4" s="1"/>
  <c r="C83" i="4"/>
  <c r="B83" i="4"/>
  <c r="G82" i="4"/>
  <c r="F82" i="4"/>
  <c r="E82" i="4"/>
  <c r="D82" i="4" a="1"/>
  <c r="D82" i="4" s="1"/>
  <c r="C82" i="4"/>
  <c r="B82" i="4"/>
  <c r="H81" i="4"/>
  <c r="G81" i="4"/>
  <c r="F81" i="4"/>
  <c r="E81" i="4"/>
  <c r="D81" i="4" a="1"/>
  <c r="D81" i="4"/>
  <c r="C81" i="4"/>
  <c r="B81" i="4"/>
  <c r="G80" i="4"/>
  <c r="F80" i="4"/>
  <c r="E80" i="4"/>
  <c r="D80" i="4" a="1"/>
  <c r="D80" i="4" s="1"/>
  <c r="C80" i="4"/>
  <c r="H80" i="4" s="1"/>
  <c r="B80" i="4"/>
  <c r="H79" i="4"/>
  <c r="G79" i="4"/>
  <c r="F79" i="4"/>
  <c r="E79" i="4"/>
  <c r="D79" i="4" a="1"/>
  <c r="D79" i="4"/>
  <c r="C79" i="4"/>
  <c r="B79" i="4"/>
  <c r="G78" i="4"/>
  <c r="F78" i="4"/>
  <c r="E78" i="4"/>
  <c r="D78" i="4" a="1"/>
  <c r="D78" i="4"/>
  <c r="C78" i="4"/>
  <c r="B78" i="4"/>
  <c r="G77" i="4"/>
  <c r="F77" i="4"/>
  <c r="E77" i="4"/>
  <c r="D77" i="4" a="1"/>
  <c r="D77" i="4" s="1"/>
  <c r="C77" i="4"/>
  <c r="B77" i="4"/>
  <c r="G76" i="4"/>
  <c r="F76" i="4"/>
  <c r="E76" i="4"/>
  <c r="D76" i="4" a="1"/>
  <c r="D76" i="4" s="1"/>
  <c r="C76" i="4"/>
  <c r="B76" i="4"/>
  <c r="H75" i="4"/>
  <c r="G75" i="4"/>
  <c r="F75" i="4"/>
  <c r="E75" i="4"/>
  <c r="D75" i="4" a="1"/>
  <c r="D75" i="4" s="1"/>
  <c r="C75" i="4"/>
  <c r="B75" i="4"/>
  <c r="H74" i="4"/>
  <c r="G74" i="4"/>
  <c r="F74" i="4"/>
  <c r="E74" i="4"/>
  <c r="D74" i="4" a="1"/>
  <c r="D74" i="4" s="1"/>
  <c r="C74" i="4"/>
  <c r="B74" i="4"/>
  <c r="H73" i="4"/>
  <c r="G73" i="4"/>
  <c r="F73" i="4"/>
  <c r="E73" i="4"/>
  <c r="D73" i="4" a="1"/>
  <c r="D73" i="4" s="1"/>
  <c r="C73" i="4"/>
  <c r="B73" i="4"/>
  <c r="H72" i="4"/>
  <c r="G72" i="4"/>
  <c r="F72" i="4"/>
  <c r="E72" i="4"/>
  <c r="D72" i="4" a="1"/>
  <c r="D72" i="4"/>
  <c r="C72" i="4"/>
  <c r="B72" i="4"/>
  <c r="G71" i="4"/>
  <c r="F71" i="4"/>
  <c r="E71" i="4"/>
  <c r="D71" i="4" a="1"/>
  <c r="D71" i="4" s="1"/>
  <c r="C71" i="4"/>
  <c r="H71" i="4" s="1"/>
  <c r="B71" i="4"/>
  <c r="G70" i="4"/>
  <c r="F70" i="4"/>
  <c r="E70" i="4"/>
  <c r="D70" i="4" a="1"/>
  <c r="D70" i="4" s="1"/>
  <c r="C70" i="4"/>
  <c r="B70" i="4"/>
  <c r="G69" i="4"/>
  <c r="F69" i="4"/>
  <c r="E69" i="4"/>
  <c r="H69" i="4" s="1"/>
  <c r="D69" i="4" a="1"/>
  <c r="D69" i="4" s="1"/>
  <c r="C69" i="4"/>
  <c r="B69" i="4"/>
  <c r="H68" i="4"/>
  <c r="G68" i="4"/>
  <c r="F68" i="4"/>
  <c r="E68" i="4"/>
  <c r="D68" i="4" a="1"/>
  <c r="D68" i="4" s="1"/>
  <c r="C68" i="4"/>
  <c r="B68" i="4"/>
  <c r="G67" i="4"/>
  <c r="F67" i="4"/>
  <c r="E67" i="4"/>
  <c r="D67" i="4" a="1"/>
  <c r="D67" i="4" s="1"/>
  <c r="C67" i="4"/>
  <c r="B67" i="4"/>
  <c r="H66" i="4"/>
  <c r="G66" i="4"/>
  <c r="F66" i="4"/>
  <c r="E66" i="4"/>
  <c r="D66" i="4" a="1"/>
  <c r="D66" i="4" s="1"/>
  <c r="C66" i="4"/>
  <c r="B66" i="4"/>
  <c r="G65" i="4"/>
  <c r="F65" i="4"/>
  <c r="E65" i="4"/>
  <c r="H65" i="4" s="1"/>
  <c r="D65" i="4" a="1"/>
  <c r="D65" i="4" s="1"/>
  <c r="C65" i="4"/>
  <c r="B65" i="4"/>
  <c r="G64" i="4"/>
  <c r="F64" i="4"/>
  <c r="E64" i="4"/>
  <c r="D64" i="4" a="1"/>
  <c r="D64" i="4" s="1"/>
  <c r="C64" i="4"/>
  <c r="B64" i="4"/>
  <c r="G63" i="4"/>
  <c r="F63" i="4"/>
  <c r="E63" i="4"/>
  <c r="H63" i="4" s="1"/>
  <c r="D63" i="4" a="1"/>
  <c r="D63" i="4" s="1"/>
  <c r="C63" i="4"/>
  <c r="B63" i="4"/>
  <c r="G62" i="4"/>
  <c r="F62" i="4"/>
  <c r="E62" i="4"/>
  <c r="H62" i="4" s="1"/>
  <c r="D62" i="4" a="1"/>
  <c r="D62" i="4" s="1"/>
  <c r="C62" i="4"/>
  <c r="B62" i="4"/>
  <c r="G61" i="4"/>
  <c r="F61" i="4"/>
  <c r="E61" i="4"/>
  <c r="H61" i="4" s="1"/>
  <c r="D61" i="4" a="1"/>
  <c r="D61" i="4" s="1"/>
  <c r="C61" i="4"/>
  <c r="B61" i="4"/>
  <c r="G60" i="4"/>
  <c r="F60" i="4"/>
  <c r="E60" i="4"/>
  <c r="D60" i="4" a="1"/>
  <c r="D60" i="4" s="1"/>
  <c r="C60" i="4"/>
  <c r="H60" i="4" s="1"/>
  <c r="B60" i="4"/>
  <c r="G59" i="4"/>
  <c r="F59" i="4"/>
  <c r="E59" i="4"/>
  <c r="H59" i="4" s="1"/>
  <c r="D59" i="4" a="1"/>
  <c r="D59" i="4"/>
  <c r="C59" i="4"/>
  <c r="B59" i="4"/>
  <c r="G58" i="4"/>
  <c r="F58" i="4"/>
  <c r="E58" i="4"/>
  <c r="H58" i="4" s="1"/>
  <c r="D58" i="4" a="1"/>
  <c r="D58" i="4" s="1"/>
  <c r="C58" i="4"/>
  <c r="B58" i="4"/>
  <c r="G57" i="4"/>
  <c r="F57" i="4"/>
  <c r="E57" i="4"/>
  <c r="D57" i="4" a="1"/>
  <c r="D57" i="4"/>
  <c r="C57" i="4"/>
  <c r="B57" i="4"/>
  <c r="G56" i="4"/>
  <c r="F56" i="4"/>
  <c r="E56" i="4"/>
  <c r="D56" i="4" a="1"/>
  <c r="D56" i="4" s="1"/>
  <c r="C56" i="4"/>
  <c r="B56" i="4"/>
  <c r="G55" i="4"/>
  <c r="F55" i="4"/>
  <c r="E55" i="4"/>
  <c r="D55" i="4" a="1"/>
  <c r="D55" i="4" s="1"/>
  <c r="C55" i="4"/>
  <c r="B55" i="4"/>
  <c r="H54" i="4"/>
  <c r="G54" i="4"/>
  <c r="F54" i="4"/>
  <c r="E54" i="4"/>
  <c r="D54" i="4" a="1"/>
  <c r="D54" i="4" s="1"/>
  <c r="C54" i="4"/>
  <c r="B54" i="4"/>
  <c r="G53" i="4"/>
  <c r="F53" i="4"/>
  <c r="E53" i="4"/>
  <c r="D53" i="4" a="1"/>
  <c r="D53" i="4" s="1"/>
  <c r="C53" i="4"/>
  <c r="H53" i="4" s="1"/>
  <c r="B53" i="4"/>
  <c r="H52" i="4"/>
  <c r="G52" i="4"/>
  <c r="F52" i="4"/>
  <c r="E52" i="4"/>
  <c r="D52" i="4" a="1"/>
  <c r="D52" i="4" s="1"/>
  <c r="C52" i="4"/>
  <c r="B52" i="4"/>
  <c r="G51" i="4"/>
  <c r="F51" i="4"/>
  <c r="E51" i="4"/>
  <c r="D51" i="4" a="1"/>
  <c r="D51" i="4" s="1"/>
  <c r="C51" i="4"/>
  <c r="H51" i="4" s="1"/>
  <c r="B51" i="4"/>
  <c r="G50" i="4"/>
  <c r="F50" i="4"/>
  <c r="E50" i="4"/>
  <c r="D50" i="4" a="1"/>
  <c r="D50" i="4" s="1"/>
  <c r="C50" i="4"/>
  <c r="B50" i="4"/>
  <c r="G49" i="4"/>
  <c r="F49" i="4"/>
  <c r="E49" i="4"/>
  <c r="D49" i="4" a="1"/>
  <c r="D49" i="4" s="1"/>
  <c r="C49" i="4"/>
  <c r="H49" i="4" s="1"/>
  <c r="B49" i="4"/>
  <c r="G48" i="4"/>
  <c r="F48" i="4"/>
  <c r="E48" i="4"/>
  <c r="H48" i="4" s="1"/>
  <c r="D48" i="4" a="1"/>
  <c r="D48" i="4" s="1"/>
  <c r="C48" i="4"/>
  <c r="B48" i="4"/>
  <c r="H47" i="4"/>
  <c r="G47" i="4"/>
  <c r="F47" i="4"/>
  <c r="E47" i="4"/>
  <c r="D47" i="4" a="1"/>
  <c r="D47" i="4" s="1"/>
  <c r="C47" i="4"/>
  <c r="B47" i="4"/>
  <c r="G46" i="4"/>
  <c r="F46" i="4"/>
  <c r="E46" i="4"/>
  <c r="D46" i="4" a="1"/>
  <c r="D46" i="4" s="1"/>
  <c r="C46" i="4"/>
  <c r="B46" i="4"/>
  <c r="G45" i="4"/>
  <c r="F45" i="4"/>
  <c r="E45" i="4"/>
  <c r="H45" i="4" s="1"/>
  <c r="D45" i="4" a="1"/>
  <c r="D45" i="4" s="1"/>
  <c r="C45" i="4"/>
  <c r="B45" i="4"/>
  <c r="H44" i="4"/>
  <c r="G44" i="4"/>
  <c r="F44" i="4"/>
  <c r="E44" i="4"/>
  <c r="D44" i="4" a="1"/>
  <c r="D44" i="4" s="1"/>
  <c r="C44" i="4"/>
  <c r="B44" i="4"/>
  <c r="G43" i="4"/>
  <c r="F43" i="4"/>
  <c r="E43" i="4"/>
  <c r="H43" i="4" s="1"/>
  <c r="D43" i="4" a="1"/>
  <c r="D43" i="4" s="1"/>
  <c r="C43" i="4"/>
  <c r="B43" i="4"/>
  <c r="G42" i="4"/>
  <c r="F42" i="4"/>
  <c r="E42" i="4"/>
  <c r="D42" i="4" a="1"/>
  <c r="D42" i="4" s="1"/>
  <c r="C42" i="4"/>
  <c r="B42" i="4"/>
  <c r="G41" i="4"/>
  <c r="F41" i="4"/>
  <c r="E41" i="4"/>
  <c r="H41" i="4" s="1"/>
  <c r="D41" i="4" a="1"/>
  <c r="D41" i="4" s="1"/>
  <c r="C41" i="4"/>
  <c r="B41" i="4"/>
  <c r="G40" i="4"/>
  <c r="F40" i="4"/>
  <c r="E40" i="4"/>
  <c r="H40" i="4" s="1"/>
  <c r="D40" i="4" a="1"/>
  <c r="D40" i="4" s="1"/>
  <c r="C40" i="4"/>
  <c r="B40" i="4"/>
  <c r="G39" i="4"/>
  <c r="F39" i="4"/>
  <c r="E39" i="4"/>
  <c r="D39" i="4" a="1"/>
  <c r="D39" i="4" s="1"/>
  <c r="C39" i="4"/>
  <c r="H39" i="4" s="1"/>
  <c r="B39" i="4"/>
  <c r="G38" i="4"/>
  <c r="F38" i="4"/>
  <c r="E38" i="4"/>
  <c r="H38" i="4" s="1"/>
  <c r="D38" i="4" a="1"/>
  <c r="D38" i="4"/>
  <c r="C38" i="4"/>
  <c r="B38" i="4"/>
  <c r="G37" i="4"/>
  <c r="F37" i="4"/>
  <c r="E37" i="4"/>
  <c r="H37" i="4" s="1"/>
  <c r="D37" i="4" a="1"/>
  <c r="D37" i="4" s="1"/>
  <c r="C37" i="4"/>
  <c r="B37" i="4"/>
  <c r="G36" i="4"/>
  <c r="F36" i="4"/>
  <c r="E36" i="4"/>
  <c r="D36" i="4" a="1"/>
  <c r="D36" i="4" s="1"/>
  <c r="C36" i="4"/>
  <c r="B36" i="4"/>
  <c r="G35" i="4"/>
  <c r="F35" i="4"/>
  <c r="E35" i="4"/>
  <c r="D35" i="4" a="1"/>
  <c r="D35" i="4" s="1"/>
  <c r="C35" i="4"/>
  <c r="H35" i="4" s="1"/>
  <c r="B35" i="4"/>
  <c r="G34" i="4"/>
  <c r="F34" i="4"/>
  <c r="E34" i="4"/>
  <c r="D34" i="4" a="1"/>
  <c r="D34" i="4" s="1"/>
  <c r="C34" i="4"/>
  <c r="B34" i="4"/>
  <c r="H33" i="4"/>
  <c r="G33" i="4"/>
  <c r="F33" i="4"/>
  <c r="E33" i="4"/>
  <c r="D33" i="4" a="1"/>
  <c r="D33" i="4" s="1"/>
  <c r="C33" i="4"/>
  <c r="B33" i="4"/>
  <c r="G32" i="4"/>
  <c r="F32" i="4"/>
  <c r="E32" i="4"/>
  <c r="D32" i="4" a="1"/>
  <c r="D32" i="4" s="1"/>
  <c r="C32" i="4"/>
  <c r="B32" i="4"/>
  <c r="H31" i="4"/>
  <c r="G31" i="4"/>
  <c r="F31" i="4"/>
  <c r="E31" i="4"/>
  <c r="D31" i="4" a="1"/>
  <c r="D31" i="4"/>
  <c r="C31" i="4"/>
  <c r="B31" i="4"/>
  <c r="H30" i="4"/>
  <c r="G30" i="4"/>
  <c r="F30" i="4"/>
  <c r="E30" i="4"/>
  <c r="D30" i="4" a="1"/>
  <c r="D30" i="4" s="1"/>
  <c r="C30" i="4"/>
  <c r="B30" i="4"/>
  <c r="G29" i="4"/>
  <c r="F29" i="4"/>
  <c r="E29" i="4"/>
  <c r="H29" i="4" s="1"/>
  <c r="D29" i="4" a="1"/>
  <c r="D29" i="4" s="1"/>
  <c r="C29" i="4"/>
  <c r="B29" i="4"/>
  <c r="G28" i="4"/>
  <c r="F28" i="4"/>
  <c r="E28" i="4"/>
  <c r="D28" i="4" a="1"/>
  <c r="D28" i="4" s="1"/>
  <c r="C28" i="4"/>
  <c r="B28" i="4"/>
  <c r="G27" i="4"/>
  <c r="F27" i="4"/>
  <c r="E27" i="4"/>
  <c r="H27" i="4" s="1"/>
  <c r="D27" i="4" a="1"/>
  <c r="D27" i="4" s="1"/>
  <c r="C27" i="4"/>
  <c r="B27" i="4"/>
  <c r="G26" i="4"/>
  <c r="F26" i="4"/>
  <c r="E26" i="4"/>
  <c r="H26" i="4" s="1"/>
  <c r="D26" i="4" a="1"/>
  <c r="D26" i="4" s="1"/>
  <c r="C26" i="4"/>
  <c r="B26" i="4"/>
  <c r="G25" i="4"/>
  <c r="F25" i="4"/>
  <c r="E25" i="4"/>
  <c r="D25" i="4" a="1"/>
  <c r="D25" i="4" s="1"/>
  <c r="C25" i="4"/>
  <c r="H25" i="4" s="1"/>
  <c r="B25" i="4"/>
  <c r="G24" i="4"/>
  <c r="F24" i="4"/>
  <c r="E24" i="4"/>
  <c r="H24" i="4" s="1"/>
  <c r="D24" i="4" a="1"/>
  <c r="D24" i="4" s="1"/>
  <c r="C24" i="4"/>
  <c r="B24" i="4"/>
  <c r="G23" i="4"/>
  <c r="F23" i="4"/>
  <c r="E23" i="4"/>
  <c r="D23" i="4" a="1"/>
  <c r="D23" i="4" s="1"/>
  <c r="C23" i="4"/>
  <c r="H23" i="4" s="1"/>
  <c r="B23" i="4"/>
  <c r="G22" i="4"/>
  <c r="F22" i="4"/>
  <c r="E22" i="4"/>
  <c r="D22" i="4" a="1"/>
  <c r="D22" i="4" s="1"/>
  <c r="C22" i="4"/>
  <c r="B22" i="4"/>
  <c r="G21" i="4"/>
  <c r="F21" i="4"/>
  <c r="E21" i="4"/>
  <c r="D21" i="4" a="1"/>
  <c r="D21" i="4" s="1"/>
  <c r="C21" i="4"/>
  <c r="H21" i="4" s="1"/>
  <c r="B21" i="4"/>
  <c r="G20" i="4"/>
  <c r="F20" i="4"/>
  <c r="E20" i="4"/>
  <c r="H20" i="4" s="1"/>
  <c r="D20" i="4" a="1"/>
  <c r="D20" i="4" s="1"/>
  <c r="C20" i="4"/>
  <c r="B20" i="4"/>
  <c r="H19" i="4"/>
  <c r="G19" i="4"/>
  <c r="F19" i="4"/>
  <c r="E19" i="4"/>
  <c r="D19" i="4" a="1"/>
  <c r="D19" i="4" s="1"/>
  <c r="C19" i="4"/>
  <c r="B19" i="4"/>
  <c r="H18" i="4"/>
  <c r="G18" i="4"/>
  <c r="F18" i="4"/>
  <c r="E18" i="4"/>
  <c r="D18" i="4" a="1"/>
  <c r="D18" i="4" s="1"/>
  <c r="C18" i="4"/>
  <c r="B18" i="4"/>
  <c r="H17" i="4"/>
  <c r="G17" i="4"/>
  <c r="F17" i="4"/>
  <c r="E17" i="4"/>
  <c r="D17" i="4" a="1"/>
  <c r="D17" i="4"/>
  <c r="C17" i="4"/>
  <c r="B17" i="4"/>
  <c r="G16" i="4"/>
  <c r="F16" i="4"/>
  <c r="E16" i="4"/>
  <c r="D16" i="4" a="1"/>
  <c r="D16" i="4" s="1"/>
  <c r="C16" i="4"/>
  <c r="B16" i="4"/>
  <c r="G15" i="4"/>
  <c r="F15" i="4"/>
  <c r="E15" i="4"/>
  <c r="H15" i="4" s="1"/>
  <c r="D15" i="4" a="1"/>
  <c r="D15" i="4" s="1"/>
  <c r="C15" i="4"/>
  <c r="B15" i="4"/>
  <c r="G14" i="4"/>
  <c r="F14" i="4"/>
  <c r="E14" i="4"/>
  <c r="H14" i="4" s="1"/>
  <c r="D14" i="4" a="1"/>
  <c r="D14" i="4" s="1"/>
  <c r="C14" i="4"/>
  <c r="B14" i="4"/>
  <c r="G13" i="4"/>
  <c r="F13" i="4"/>
  <c r="E13" i="4"/>
  <c r="H13" i="4" s="1"/>
  <c r="D13" i="4" a="1"/>
  <c r="D13" i="4" s="1"/>
  <c r="C13" i="4"/>
  <c r="B13" i="4"/>
  <c r="G12" i="4"/>
  <c r="F12" i="4"/>
  <c r="E12" i="4"/>
  <c r="H12" i="4" s="1"/>
  <c r="D12" i="4" a="1"/>
  <c r="D12" i="4" s="1"/>
  <c r="C12" i="4"/>
  <c r="B12" i="4"/>
  <c r="G11" i="4"/>
  <c r="F11" i="4"/>
  <c r="E11" i="4"/>
  <c r="H11" i="4" s="1"/>
  <c r="D11" i="4" a="1"/>
  <c r="D11" i="4" s="1"/>
  <c r="C11" i="4"/>
  <c r="B11" i="4"/>
  <c r="G10" i="4"/>
  <c r="F10" i="4"/>
  <c r="E10" i="4"/>
  <c r="H10" i="4" s="1"/>
  <c r="D10" i="4" a="1"/>
  <c r="D10" i="4" s="1"/>
  <c r="C10" i="4"/>
  <c r="B10" i="4"/>
  <c r="H9" i="4"/>
  <c r="G9" i="4"/>
  <c r="F9" i="4"/>
  <c r="E9" i="4"/>
  <c r="D9" i="4" a="1"/>
  <c r="D9" i="4" s="1"/>
  <c r="C9" i="4"/>
  <c r="B9" i="4"/>
  <c r="G8" i="4"/>
  <c r="F8" i="4"/>
  <c r="E8" i="4"/>
  <c r="H8" i="4" s="1"/>
  <c r="D8" i="4" a="1"/>
  <c r="D8" i="4" s="1"/>
  <c r="C8" i="4"/>
  <c r="B8" i="4"/>
  <c r="G7" i="4"/>
  <c r="F7" i="4"/>
  <c r="E7" i="4"/>
  <c r="H7" i="4" s="1"/>
  <c r="D7" i="4" a="1"/>
  <c r="D7" i="4" s="1"/>
  <c r="C7" i="4"/>
  <c r="B7" i="4"/>
  <c r="G6" i="4"/>
  <c r="F6" i="4"/>
  <c r="E6" i="4"/>
  <c r="D6" i="4" a="1"/>
  <c r="D6" i="4" s="1"/>
  <c r="C6" i="4"/>
  <c r="B6" i="4"/>
  <c r="G5" i="4"/>
  <c r="F5" i="4"/>
  <c r="E5" i="4"/>
  <c r="H5" i="4" s="1"/>
  <c r="D5" i="4" a="1"/>
  <c r="D5" i="4" s="1"/>
  <c r="C5" i="4"/>
  <c r="B5" i="4"/>
  <c r="B15" i="1"/>
  <c r="B14" i="1"/>
  <c r="B13" i="1"/>
  <c r="B10" i="1"/>
  <c r="B9" i="1"/>
  <c r="B8" i="1"/>
  <c r="B7" i="1"/>
  <c r="B6" i="1"/>
  <c r="H42" i="4" l="1"/>
  <c r="H36" i="4"/>
  <c r="H57" i="4"/>
  <c r="H32" i="4"/>
  <c r="H55" i="4"/>
  <c r="H78" i="4"/>
  <c r="H82" i="4"/>
  <c r="H28" i="4"/>
  <c r="H34" i="4"/>
  <c r="H64" i="4"/>
  <c r="H70" i="4"/>
  <c r="H76" i="4"/>
  <c r="H6" i="4"/>
  <c r="H16" i="4"/>
  <c r="H22" i="4"/>
  <c r="H56" i="4"/>
  <c r="H83" i="4"/>
  <c r="H77" i="4"/>
  <c r="H46" i="4"/>
  <c r="H50" i="4"/>
  <c r="H67" i="4"/>
</calcChain>
</file>

<file path=xl/sharedStrings.xml><?xml version="1.0" encoding="utf-8"?>
<sst xmlns="http://schemas.openxmlformats.org/spreadsheetml/2006/main" count="678" uniqueCount="416">
  <si>
    <t>Durchlaufzeit-Analyse — Auftrag bis Ware hat Lager verlassen</t>
  </si>
  <si>
    <t>elvinci.de GmbH · Stand 19.08.2026 · erstellt aus AMM AUFTRAG_STATUS-Snapshots + Fulfilment-Pipeline-Excel</t>
  </si>
  <si>
    <t>KENNZAHLEN GESAMT</t>
  </si>
  <si>
    <t>Quelle 1 — AMM-Snapshot-Diff (Apr–Aug 2026, AMM-Eintrag → Lager-Exit)</t>
  </si>
  <si>
    <t xml:space="preserve">   Auswertbare Aufträge</t>
  </si>
  <si>
    <t xml:space="preserve">   Ø Durchlaufzeit (Tage)</t>
  </si>
  <si>
    <t xml:space="preserve">   Median (Tage) — robustere Steuerungsgröße</t>
  </si>
  <si>
    <t xml:space="preserve">   Max (Tage)</t>
  </si>
  <si>
    <t xml:space="preserve">   Ø Mess-Unsicherheit (± Tage, aus Snapshot-Lücken)</t>
  </si>
  <si>
    <t>Quelle 2 — Fulfilment-Pipeline (Jan–Apr 2026, Anmeldung → Versand/Abholung)</t>
  </si>
  <si>
    <t xml:space="preserve">   Auswertbare Aufträge (Storno bereinigt)</t>
  </si>
  <si>
    <t xml:space="preserve">   Median (Tage)</t>
  </si>
  <si>
    <t>METHODIK &amp; EINSCHRÄNKUNGEN</t>
  </si>
  <si>
    <t>• Zwei Quellen mit unterschiedlichen Startpunkten — nicht mischen: Pipeline misst ab Auftragseingang in der Excel, AMM ab Registrierung bei AMM.</t>
  </si>
  <si>
    <t>• AMM-Diff: Auftrag verschwindet aus Snapshot = Lager verlassen. Kann Storno nicht von Versand unterscheiden — Langläufer &gt;45 Tage einzeln prüfen.</t>
  </si>
  <si>
    <t>• Exit-Datum = Mitte zwischen letztem Snapshot mit Auftrag und erstem ohne → Ø-Unsicherheit siehe oben.</t>
  </si>
  <si>
    <t>• Median statt Ø für Steuerung verwenden: Vorkasse-Kunden mit Zahlungsverzug verzerren den Durchschnitt stark (Max 101 Tage).</t>
  </si>
  <si>
    <t>• Kunden-Vergleich fair nur innerhalb gleicher Zahlungsart — Vorkasse wartet systembedingt auf Zahlungseingang.</t>
  </si>
  <si>
    <t>• Ab sofort exakt messbar: Auftragstool erfasst startedAt → Lieferstatus 'unterwegs' pro Auftrag (keine Snapshot-Unsicherheit).</t>
  </si>
  <si>
    <t>Kunde</t>
  </si>
  <si>
    <t>AU</t>
  </si>
  <si>
    <t>Tage</t>
  </si>
  <si>
    <t>Unsicherheit (Tage)</t>
  </si>
  <si>
    <t>Outlet Simex D.O.O</t>
  </si>
  <si>
    <t>AU2026021813401</t>
  </si>
  <si>
    <t>AMY Witgoed</t>
  </si>
  <si>
    <t>AU2026022313417</t>
  </si>
  <si>
    <t>Enterijer D.O.O.</t>
  </si>
  <si>
    <t>AU2026022513425</t>
  </si>
  <si>
    <t>SC Gelimpex SRL</t>
  </si>
  <si>
    <t>AU2026030413445</t>
  </si>
  <si>
    <t>Elvinci.de GmbH</t>
  </si>
  <si>
    <t>AU2026030614</t>
  </si>
  <si>
    <t>Karakitsos Stock House IKE</t>
  </si>
  <si>
    <t>AU2026030913462</t>
  </si>
  <si>
    <t>Egzoni Sh.P.K</t>
  </si>
  <si>
    <t>AU2026031013467</t>
  </si>
  <si>
    <t>Euroda Transport &amp;Handel</t>
  </si>
  <si>
    <t>AU2026031113475</t>
  </si>
  <si>
    <t>Hermans Trading BV</t>
  </si>
  <si>
    <t>AU2026032013499</t>
  </si>
  <si>
    <t>Deland Ltd EOOD</t>
  </si>
  <si>
    <t>AU2026032013500</t>
  </si>
  <si>
    <t>Ovitshop</t>
  </si>
  <si>
    <t>AU2026032413502</t>
  </si>
  <si>
    <t>AU2026032413506</t>
  </si>
  <si>
    <t>TECHNO ELECTRONICS 5 Ltd</t>
  </si>
  <si>
    <t>AU2026033113525</t>
  </si>
  <si>
    <t>Hanseatic georgia LLC</t>
  </si>
  <si>
    <t>AU2026033113526</t>
  </si>
  <si>
    <t>Simex D.O.O</t>
  </si>
  <si>
    <t>AU2026040113529</t>
  </si>
  <si>
    <t>AU2026040213533</t>
  </si>
  <si>
    <t>Kaldi Prime Kft</t>
  </si>
  <si>
    <t>AU2026032413504</t>
  </si>
  <si>
    <t>Trade S.R.O. Számlázási</t>
  </si>
  <si>
    <t>AU2026040813534</t>
  </si>
  <si>
    <t>Luboš Ulman</t>
  </si>
  <si>
    <t>AU2026040813535</t>
  </si>
  <si>
    <t>Buy4less GmbH</t>
  </si>
  <si>
    <t>AU2026040913538</t>
  </si>
  <si>
    <t>SUNELECTRO OÜ</t>
  </si>
  <si>
    <t>AU2026041013539</t>
  </si>
  <si>
    <t>AU2026041013540</t>
  </si>
  <si>
    <t>New Returns BV</t>
  </si>
  <si>
    <t>AU2026041013542</t>
  </si>
  <si>
    <t>AU2026041013544</t>
  </si>
  <si>
    <t>Banat Electrocasnice S.R.L.</t>
  </si>
  <si>
    <t>AU2026041013546</t>
  </si>
  <si>
    <t>M&amp;J TRADE D.O.O.</t>
  </si>
  <si>
    <t>AU2026041013547</t>
  </si>
  <si>
    <t>Almost New LTD</t>
  </si>
  <si>
    <t>AU2026041313549</t>
  </si>
  <si>
    <t>GLOBAL LIQUIDACIONES SL</t>
  </si>
  <si>
    <t>AU2026041413551</t>
  </si>
  <si>
    <t>AU2026041413552</t>
  </si>
  <si>
    <t>NAS ELECTROMENAGER</t>
  </si>
  <si>
    <t>AU2026041413558</t>
  </si>
  <si>
    <t>AU2026040113528</t>
  </si>
  <si>
    <t>IG international trading GmbH</t>
  </si>
  <si>
    <t>AU2026041013541</t>
  </si>
  <si>
    <t>UAB STEVIJA</t>
  </si>
  <si>
    <t>AU2026041413554</t>
  </si>
  <si>
    <t>Marketvibe Srl</t>
  </si>
  <si>
    <t>AU2026041413555</t>
  </si>
  <si>
    <t>AU2026041313550</t>
  </si>
  <si>
    <t>Sefik</t>
  </si>
  <si>
    <t>AU2026041413553</t>
  </si>
  <si>
    <t>Elektroshop Enny Dizdarevic Ernesa e.U.</t>
  </si>
  <si>
    <t>AU2026042013572</t>
  </si>
  <si>
    <t>AU2026042013573</t>
  </si>
  <si>
    <t>AU2026042013574</t>
  </si>
  <si>
    <t>UAB Portana</t>
  </si>
  <si>
    <t>AU2026042113576</t>
  </si>
  <si>
    <t>Sam Schotte</t>
  </si>
  <si>
    <t>AU2026042113577</t>
  </si>
  <si>
    <t>GGY Trade s.r.o.</t>
  </si>
  <si>
    <t>AU2026042113580</t>
  </si>
  <si>
    <t>AU2026042213581</t>
  </si>
  <si>
    <t>AU2026042213582</t>
  </si>
  <si>
    <t>AU2026042313585</t>
  </si>
  <si>
    <t>AU2026042313587</t>
  </si>
  <si>
    <t>AU2026042413593</t>
  </si>
  <si>
    <t>KOUTLIANOS NIKOS</t>
  </si>
  <si>
    <t>AU2026042913603</t>
  </si>
  <si>
    <t>AU2026050413610</t>
  </si>
  <si>
    <t>Enno Kundendienst</t>
  </si>
  <si>
    <t>AU2026050813618</t>
  </si>
  <si>
    <t>Outlet Mebeli Ltd</t>
  </si>
  <si>
    <t>AU2026051113624</t>
  </si>
  <si>
    <t>AU2026051213626</t>
  </si>
  <si>
    <t>AU2026051213627</t>
  </si>
  <si>
    <t>Todo Cash</t>
  </si>
  <si>
    <t>AU2026051313630</t>
  </si>
  <si>
    <t>MON-LIP ROCK KFT</t>
  </si>
  <si>
    <t>AU2026051513634</t>
  </si>
  <si>
    <t>AU2026051513637</t>
  </si>
  <si>
    <t>AU2026051513638</t>
  </si>
  <si>
    <t>AU2026051813642</t>
  </si>
  <si>
    <t>P&amp;C Trading B.V.</t>
  </si>
  <si>
    <t>AU2026051913649</t>
  </si>
  <si>
    <t>AU2026051913650</t>
  </si>
  <si>
    <t>AU2026052013652</t>
  </si>
  <si>
    <t>AU2026052113656</t>
  </si>
  <si>
    <t>Buy24</t>
  </si>
  <si>
    <t>AU2026052113657</t>
  </si>
  <si>
    <t>AU2026052113658</t>
  </si>
  <si>
    <t>Alayham Shakantana</t>
  </si>
  <si>
    <t>AU2026052113660</t>
  </si>
  <si>
    <t>AU2026052213664</t>
  </si>
  <si>
    <t>AU2026052213669</t>
  </si>
  <si>
    <t>AU2026052613674</t>
  </si>
  <si>
    <t>AU2026051913644</t>
  </si>
  <si>
    <t>AU2026051913647</t>
  </si>
  <si>
    <t>Markaris Petros</t>
  </si>
  <si>
    <t>AU2026052213670</t>
  </si>
  <si>
    <t>AU2026052613671</t>
  </si>
  <si>
    <t>AU2026052613675</t>
  </si>
  <si>
    <t>Daniel Toska</t>
  </si>
  <si>
    <t>AU2026052713677</t>
  </si>
  <si>
    <t>AU2026052713678</t>
  </si>
  <si>
    <t>AU2026052713680</t>
  </si>
  <si>
    <t>Nikokira Outlet</t>
  </si>
  <si>
    <t>AU2026052813684</t>
  </si>
  <si>
    <t>AU2026052813686</t>
  </si>
  <si>
    <t>AU2026052913687</t>
  </si>
  <si>
    <t>AU2026052913691</t>
  </si>
  <si>
    <t>elvinci Privat testx</t>
  </si>
  <si>
    <t>AU2026060113692</t>
  </si>
  <si>
    <t>AU2026060113693</t>
  </si>
  <si>
    <t>Gujjar Begum</t>
  </si>
  <si>
    <t>AU2026060213694</t>
  </si>
  <si>
    <t>AU2026060213696</t>
  </si>
  <si>
    <t>RU Recycling und Umweltdienst GmbH</t>
  </si>
  <si>
    <t>AU2026060213697</t>
  </si>
  <si>
    <t>Nagy Szabolcs Bela</t>
  </si>
  <si>
    <t>AU2026060213698</t>
  </si>
  <si>
    <t>AU2026060313702</t>
  </si>
  <si>
    <t>AU2026060513703</t>
  </si>
  <si>
    <t>AU2026060513704</t>
  </si>
  <si>
    <t>Warriors Cascade Lda</t>
  </si>
  <si>
    <t>AU2026060513706</t>
  </si>
  <si>
    <t>AU2026052713679</t>
  </si>
  <si>
    <t>AU2026060313699</t>
  </si>
  <si>
    <t>AU2026060913711</t>
  </si>
  <si>
    <t>AU2026052213668</t>
  </si>
  <si>
    <t>AU2026052013655</t>
  </si>
  <si>
    <t>AU2026060313701</t>
  </si>
  <si>
    <t>AU2026060813709</t>
  </si>
  <si>
    <t>AU2026060913710</t>
  </si>
  <si>
    <t>(ohne Kundenname)</t>
  </si>
  <si>
    <t>AU2026061013715</t>
  </si>
  <si>
    <t>AU2026061113716</t>
  </si>
  <si>
    <t>AU2026061213724</t>
  </si>
  <si>
    <t>Alma Trading Company</t>
  </si>
  <si>
    <t>AU2026061513726</t>
  </si>
  <si>
    <t>AU2026061513727</t>
  </si>
  <si>
    <t>AU2026061513728</t>
  </si>
  <si>
    <t>J &amp; B Express</t>
  </si>
  <si>
    <t>AU2026061513730</t>
  </si>
  <si>
    <t>AU2026061613736</t>
  </si>
  <si>
    <t>AU2026061113718</t>
  </si>
  <si>
    <t>AU2026061613739</t>
  </si>
  <si>
    <t>AU2026061713740</t>
  </si>
  <si>
    <t>AU2026061813743</t>
  </si>
  <si>
    <t>AU2026061213721</t>
  </si>
  <si>
    <t>Soutis Electrics</t>
  </si>
  <si>
    <t>AU2026061613732</t>
  </si>
  <si>
    <t>Techno Vision Group Ltd</t>
  </si>
  <si>
    <t>AU2026061813746</t>
  </si>
  <si>
    <t>AU2026062313758</t>
  </si>
  <si>
    <t>AU2026061213722</t>
  </si>
  <si>
    <t>AU2026061513729</t>
  </si>
  <si>
    <t>Elektro Sinizig</t>
  </si>
  <si>
    <t>AU2026061613733</t>
  </si>
  <si>
    <t>AU2026062213756</t>
  </si>
  <si>
    <t>AU2026062413761</t>
  </si>
  <si>
    <t>AU2026062413762</t>
  </si>
  <si>
    <t>UAB Buitikas</t>
  </si>
  <si>
    <t>AU2026062413763</t>
  </si>
  <si>
    <t>AU2026062513764</t>
  </si>
  <si>
    <t>L&amp;L Electronics Kft</t>
  </si>
  <si>
    <t>AU2026062613768</t>
  </si>
  <si>
    <t>AU2026062913769</t>
  </si>
  <si>
    <t>AU20S00024</t>
  </si>
  <si>
    <t>S00045</t>
  </si>
  <si>
    <t>S00049</t>
  </si>
  <si>
    <t>AU2026061913750</t>
  </si>
  <si>
    <t>AU2026062913770</t>
  </si>
  <si>
    <t>AU2026062913775</t>
  </si>
  <si>
    <t>AU2026063013777</t>
  </si>
  <si>
    <t>S00056</t>
  </si>
  <si>
    <t>BOSAK Sp z o.o.</t>
  </si>
  <si>
    <t>S00066</t>
  </si>
  <si>
    <t>SC Interm Grup SRL</t>
  </si>
  <si>
    <t>S00068</t>
  </si>
  <si>
    <t>"KAJTEK" Patrycja Minkina</t>
  </si>
  <si>
    <t>S00071</t>
  </si>
  <si>
    <t>S00080</t>
  </si>
  <si>
    <t>AU2026062913771</t>
  </si>
  <si>
    <t>AU2026062913772</t>
  </si>
  <si>
    <t>AU2026062913774</t>
  </si>
  <si>
    <t>AU2026062913776</t>
  </si>
  <si>
    <t>Jume Market</t>
  </si>
  <si>
    <t>S00112</t>
  </si>
  <si>
    <t>S00141</t>
  </si>
  <si>
    <t>S00143</t>
  </si>
  <si>
    <t>S00144</t>
  </si>
  <si>
    <t>Techno Planet LTD</t>
  </si>
  <si>
    <t>S00170</t>
  </si>
  <si>
    <t>Bastounis Anastasios</t>
  </si>
  <si>
    <t>S00171</t>
  </si>
  <si>
    <t>S00172</t>
  </si>
  <si>
    <t>IDEA EOOD</t>
  </si>
  <si>
    <t>S00174</t>
  </si>
  <si>
    <t>AU2026062913773</t>
  </si>
  <si>
    <t>S00211</t>
  </si>
  <si>
    <t>S00216</t>
  </si>
  <si>
    <t>S00225</t>
  </si>
  <si>
    <t>S00236</t>
  </si>
  <si>
    <t>S00245</t>
  </si>
  <si>
    <t>S00267</t>
  </si>
  <si>
    <t>S00277</t>
  </si>
  <si>
    <t>S00286</t>
  </si>
  <si>
    <t>S00312</t>
  </si>
  <si>
    <t>Emporia antalaktikon-Ilektrikon syskeuon</t>
  </si>
  <si>
    <t>S00337</t>
  </si>
  <si>
    <t>Les Petits Pieds S.R.L,</t>
  </si>
  <si>
    <t>S00340</t>
  </si>
  <si>
    <t>Rati Marti</t>
  </si>
  <si>
    <t>S00354</t>
  </si>
  <si>
    <t>W.D.S. D.o.o.</t>
  </si>
  <si>
    <t>S00311</t>
  </si>
  <si>
    <t>SADI</t>
  </si>
  <si>
    <t>S00352</t>
  </si>
  <si>
    <t>S00370</t>
  </si>
  <si>
    <t>S00388</t>
  </si>
  <si>
    <t>S003370</t>
  </si>
  <si>
    <t>Green Loop GmbH</t>
  </si>
  <si>
    <t>S00338</t>
  </si>
  <si>
    <t>S00400</t>
  </si>
  <si>
    <t>S00433</t>
  </si>
  <si>
    <t>S00456</t>
  </si>
  <si>
    <t>S00491</t>
  </si>
  <si>
    <t>BOSAK Sp z o.o.,</t>
  </si>
  <si>
    <t>S00493</t>
  </si>
  <si>
    <t>Fortis Impex Kft</t>
  </si>
  <si>
    <t>S00494</t>
  </si>
  <si>
    <t>S00500</t>
  </si>
  <si>
    <t>NEO VENTO d.o.o.</t>
  </si>
  <si>
    <t>S00507</t>
  </si>
  <si>
    <t>S00509</t>
  </si>
  <si>
    <t>S00511</t>
  </si>
  <si>
    <t>Alma Trading company</t>
  </si>
  <si>
    <t>S00288</t>
  </si>
  <si>
    <t>AURORA SOLAR ENERGY DOO</t>
  </si>
  <si>
    <t>S00478</t>
  </si>
  <si>
    <t>J&amp;B EXPRESS</t>
  </si>
  <si>
    <t>S00556</t>
  </si>
  <si>
    <t>S00561</t>
  </si>
  <si>
    <t>S00568</t>
  </si>
  <si>
    <t>S00578</t>
  </si>
  <si>
    <t>S00582</t>
  </si>
  <si>
    <t>S00585</t>
  </si>
  <si>
    <t>S00591</t>
  </si>
  <si>
    <t>Lubomir Karwot Outlet AGD</t>
  </si>
  <si>
    <t>S00592</t>
  </si>
  <si>
    <t>S00609</t>
  </si>
  <si>
    <t>Outlet Loket</t>
  </si>
  <si>
    <t>S00611</t>
  </si>
  <si>
    <t>S00622</t>
  </si>
  <si>
    <t>S00624</t>
  </si>
  <si>
    <t>S00625</t>
  </si>
  <si>
    <t>SOS Hausgeräte Radtke</t>
  </si>
  <si>
    <t>S00627</t>
  </si>
  <si>
    <t>AU2026010813260</t>
  </si>
  <si>
    <t>SIOKOS DIM.GEORGIOS</t>
  </si>
  <si>
    <t>AU2026010813259</t>
  </si>
  <si>
    <t>AU2026010813261</t>
  </si>
  <si>
    <t>AU2026010913263</t>
  </si>
  <si>
    <t>AU2026010913264</t>
  </si>
  <si>
    <t>AU2026010713257</t>
  </si>
  <si>
    <t>AU2026010913267</t>
  </si>
  <si>
    <t>Oli Outlet Kft.</t>
  </si>
  <si>
    <t>AU2026011213269</t>
  </si>
  <si>
    <t>AU2026011413279
(+ AU2026011413284)</t>
  </si>
  <si>
    <t>AU2026011313272</t>
  </si>
  <si>
    <t>Alinklizi Almuntaser Billah</t>
  </si>
  <si>
    <t>AU2026011313273</t>
  </si>
  <si>
    <t>Hanseatic Georgia LLC</t>
  </si>
  <si>
    <t>AU2026011513285</t>
  </si>
  <si>
    <t>Online Shopping Trade</t>
  </si>
  <si>
    <t>AU2026011413281</t>
  </si>
  <si>
    <t>AU2026011413277</t>
  </si>
  <si>
    <t>Othman Hasan</t>
  </si>
  <si>
    <t>AU2026011413282</t>
  </si>
  <si>
    <t>AU2026011313274</t>
  </si>
  <si>
    <t>AU2026011313275</t>
  </si>
  <si>
    <t>Fixon Trade Kft.</t>
  </si>
  <si>
    <t>AU2026011213270</t>
  </si>
  <si>
    <t>AU2026011613304</t>
  </si>
  <si>
    <t>AU2026011913308</t>
  </si>
  <si>
    <t>AU2026012113314</t>
  </si>
  <si>
    <t>Karakitsos Stock Haus</t>
  </si>
  <si>
    <t>AU2026012313317</t>
  </si>
  <si>
    <t>AU2026011613305</t>
  </si>
  <si>
    <t>Elektro Outlet Sinzig GmbH I.G.</t>
  </si>
  <si>
    <t>AU2026011513292</t>
  </si>
  <si>
    <t>HOSTELCOL SUECA S.L.U</t>
  </si>
  <si>
    <t>AU2026011513286</t>
  </si>
  <si>
    <t>AU2026011613302</t>
  </si>
  <si>
    <t>AU2026012013310</t>
  </si>
  <si>
    <t>Home Discount S.R.L.</t>
  </si>
  <si>
    <t>AU2026012013313</t>
  </si>
  <si>
    <t>AU2026012813334</t>
  </si>
  <si>
    <t>AU2026012313320</t>
  </si>
  <si>
    <t>AU2026012613324</t>
  </si>
  <si>
    <t>AU2026012813328</t>
  </si>
  <si>
    <t>PUKO Sp z.o.o.</t>
  </si>
  <si>
    <t>AU2026012813335</t>
  </si>
  <si>
    <t>AU2026013013347</t>
  </si>
  <si>
    <t>Hermans Trading</t>
  </si>
  <si>
    <t>AU2026012313316</t>
  </si>
  <si>
    <t>Online Shopping Trade S.R.O. Számlázási</t>
  </si>
  <si>
    <t>AU2026012813336</t>
  </si>
  <si>
    <t>AU2026011513293</t>
  </si>
  <si>
    <t>AU2026012713325</t>
  </si>
  <si>
    <t>AU2026012313318</t>
  </si>
  <si>
    <t>AU2026012813333</t>
  </si>
  <si>
    <t>AU2026012813339</t>
  </si>
  <si>
    <t>AU2026020213352</t>
  </si>
  <si>
    <t>AU2026013013351</t>
  </si>
  <si>
    <t>AU2026012913343</t>
  </si>
  <si>
    <t>AU2026020213355 + AU2026020513366</t>
  </si>
  <si>
    <t>AU2026020313357</t>
  </si>
  <si>
    <t>New Returns</t>
  </si>
  <si>
    <t>AU2026012913346</t>
  </si>
  <si>
    <t>Hanseatic LKW 2 von 2</t>
  </si>
  <si>
    <t>AU2026020213354</t>
  </si>
  <si>
    <t>Hanseatic LKW 1 von 2</t>
  </si>
  <si>
    <t>AU2026012813337</t>
  </si>
  <si>
    <t>AU2026020413361</t>
  </si>
  <si>
    <t>AU2026021013379</t>
  </si>
  <si>
    <t>CADS Engineering GmbH</t>
  </si>
  <si>
    <t>AU2026020913378</t>
  </si>
  <si>
    <t>AU2026020513365</t>
  </si>
  <si>
    <t>OVIT Shop</t>
  </si>
  <si>
    <t>AU2026020513372</t>
  </si>
  <si>
    <t>Sparhaus GbR</t>
  </si>
  <si>
    <t>AU2025122313237</t>
  </si>
  <si>
    <t>AU2026020513367</t>
  </si>
  <si>
    <t>AU2026021113381</t>
  </si>
  <si>
    <t>Sefik Saracevic</t>
  </si>
  <si>
    <t>AU2026020313360</t>
  </si>
  <si>
    <t>FSMM HAUSGERÄTE</t>
  </si>
  <si>
    <t>AU2026020413363</t>
  </si>
  <si>
    <t>Nikos Koutlianos</t>
  </si>
  <si>
    <t>AU2026020513371</t>
  </si>
  <si>
    <t>NORMA24 Online Shop GmbH &amp; Co. KG</t>
  </si>
  <si>
    <t>AU2026020913376</t>
  </si>
  <si>
    <t>AU2026021913407</t>
  </si>
  <si>
    <t>AU2026021813399</t>
  </si>
  <si>
    <t>Noureddin Alasas</t>
  </si>
  <si>
    <t>AU2026021713398</t>
  </si>
  <si>
    <t>Keeyword ApS.</t>
  </si>
  <si>
    <t>AU2026022413420</t>
  </si>
  <si>
    <t>AU2026021913408</t>
  </si>
  <si>
    <t>Hanseatic Georgia LLC (3)</t>
  </si>
  <si>
    <t>AU2026021313387</t>
  </si>
  <si>
    <t>Emporia antalaktikon</t>
  </si>
  <si>
    <t>AU2026030913460</t>
  </si>
  <si>
    <t>AU2026031013468</t>
  </si>
  <si>
    <t>Kaldi Prime KFT</t>
  </si>
  <si>
    <t>AU2026031013464</t>
  </si>
  <si>
    <t>IG International</t>
  </si>
  <si>
    <t>AU2026030913456</t>
  </si>
  <si>
    <t>Outlet Mebeli</t>
  </si>
  <si>
    <t>AU2026031213479</t>
  </si>
  <si>
    <t>Ados Witgoed</t>
  </si>
  <si>
    <t>AU2026031213478</t>
  </si>
  <si>
    <t>AU2026031513486</t>
  </si>
  <si>
    <t>AU2026031813492</t>
  </si>
  <si>
    <t>AU2026030613455</t>
  </si>
  <si>
    <t>AU2026031813491</t>
  </si>
  <si>
    <t>Ovit Shop V.O.F.</t>
  </si>
  <si>
    <t>AU2026032513509</t>
  </si>
  <si>
    <t>Online Shopping Trade S.R.O.</t>
  </si>
  <si>
    <t>Durchlaufzeit je Kunde — Auftrag bis Ware hat Lager verlassen</t>
  </si>
  <si>
    <t>Hauptquelle: AMM-Snapshot-Diff Apr–Aug 2026 (AMM-Eintrag → Lager-Exit) · Ergänzend: Fulfilment-Pipeline Jan–Apr (Anmeldung → Versand)</t>
  </si>
  <si>
    <t>N (AMM)</t>
  </si>
  <si>
    <t>Ø Tage (AMM)</t>
  </si>
  <si>
    <t>Median (AMM)</t>
  </si>
  <si>
    <t>Max (AMM)</t>
  </si>
  <si>
    <t>N (Pipeline)</t>
  </si>
  <si>
    <t>Ø Tage (Pipeline)</t>
  </si>
  <si>
    <t>Hinweis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</si>
</sst>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name val="Arial"/>
    </font>
    <font>
      <sz val="9"/>
      <color rgb="FF808080"/>
      <name val="Arial"/>
    </font>
    <font>
      <sz val="9"/>
      <color rgb="FFC00000"/>
      <name val="Arial"/>
    </font>
    <font>
      <b/>
      <sz val="16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6" fillId="0" borderId="0" xfId="0" applyFont="1"/>
    <xf numFmtId="0" fontId="4" fillId="0" borderId="0" xfId="0" applyFont="1"/>
    <xf numFmtId="0" fontId="2" fillId="0" borderId="0" xfId="0" applyFont="1"/>
    <xf numFmtId="0" fontId="7" fillId="0" borderId="0" xfId="0" applyFont="1"/>
    <xf numFmtId="1" fontId="7" fillId="0" borderId="0" xfId="0" applyNumberFormat="1" applyFont="1"/>
    <xf numFmtId="164" fontId="7" fillId="0" borderId="0" xfId="0" applyNumberFormat="1" applyFont="1"/>
    <xf numFmtId="0" fontId="1" fillId="2" borderId="0" xfId="0" applyFont="1" applyFill="1"/>
    <xf numFmtId="0" fontId="3" fillId="0" borderId="0" xfId="0" applyFont="1"/>
    <xf numFmtId="0" fontId="1" fillId="2" borderId="0" xfId="0" applyFont="1" applyFill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5" fillId="0" borderId="1" xfId="0" applyFont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/>
  </sheetViews>
  <sheetFormatPr baseColWidth="10" defaultColWidth="9.140625" defaultRowHeight="15" x14ac:dyDescent="0.25"/>
  <cols>
    <col min="1" max="1" width="105" customWidth="1"/>
    <col min="2" max="2" width="12" customWidth="1"/>
  </cols>
  <sheetData>
    <row r="1" spans="1:2" ht="20.25" x14ac:dyDescent="0.3">
      <c r="A1" s="1" t="s">
        <v>0</v>
      </c>
    </row>
    <row r="2" spans="1:2" x14ac:dyDescent="0.25">
      <c r="A2" s="2" t="s">
        <v>1</v>
      </c>
    </row>
    <row r="3" spans="1:2" x14ac:dyDescent="0.25">
      <c r="A3" s="3"/>
    </row>
    <row r="4" spans="1:2" x14ac:dyDescent="0.25">
      <c r="A4" s="4" t="s">
        <v>2</v>
      </c>
    </row>
    <row r="5" spans="1:2" x14ac:dyDescent="0.25">
      <c r="A5" s="4" t="s">
        <v>3</v>
      </c>
    </row>
    <row r="6" spans="1:2" x14ac:dyDescent="0.25">
      <c r="A6" s="3" t="s">
        <v>4</v>
      </c>
      <c r="B6" s="5">
        <f>COUNT('Rohdaten AMM'!C2:C194)</f>
        <v>193</v>
      </c>
    </row>
    <row r="7" spans="1:2" x14ac:dyDescent="0.25">
      <c r="A7" s="3" t="s">
        <v>5</v>
      </c>
      <c r="B7" s="6">
        <f>AVERAGE('Rohdaten AMM'!C2:C194)</f>
        <v>12.8860103626943</v>
      </c>
    </row>
    <row r="8" spans="1:2" x14ac:dyDescent="0.25">
      <c r="A8" s="3" t="s">
        <v>6</v>
      </c>
      <c r="B8" s="5">
        <f>MEDIAN('Rohdaten AMM'!C2:C194)</f>
        <v>9</v>
      </c>
    </row>
    <row r="9" spans="1:2" x14ac:dyDescent="0.25">
      <c r="A9" s="3" t="s">
        <v>7</v>
      </c>
      <c r="B9" s="5">
        <f>MAX('Rohdaten AMM'!C2:C194)</f>
        <v>101</v>
      </c>
    </row>
    <row r="10" spans="1:2" x14ac:dyDescent="0.25">
      <c r="A10" s="3" t="s">
        <v>8</v>
      </c>
      <c r="B10" s="6">
        <f>AVERAGE('Rohdaten AMM'!D2:D194)/2</f>
        <v>4.4870466321243523</v>
      </c>
    </row>
    <row r="11" spans="1:2" x14ac:dyDescent="0.25">
      <c r="A11" s="3"/>
    </row>
    <row r="12" spans="1:2" x14ac:dyDescent="0.25">
      <c r="A12" s="4" t="s">
        <v>9</v>
      </c>
    </row>
    <row r="13" spans="1:2" x14ac:dyDescent="0.25">
      <c r="A13" s="3" t="s">
        <v>10</v>
      </c>
      <c r="B13" s="5">
        <f>COUNT('Rohdaten Pipeline'!C2:C89)</f>
        <v>88</v>
      </c>
    </row>
    <row r="14" spans="1:2" x14ac:dyDescent="0.25">
      <c r="A14" s="3" t="s">
        <v>5</v>
      </c>
      <c r="B14" s="6">
        <f>AVERAGE('Rohdaten Pipeline'!C2:C89)</f>
        <v>8.1022727272727266</v>
      </c>
    </row>
    <row r="15" spans="1:2" x14ac:dyDescent="0.25">
      <c r="A15" s="3" t="s">
        <v>11</v>
      </c>
      <c r="B15" s="5">
        <f>MEDIAN('Rohdaten Pipeline'!C2:C89)</f>
        <v>7</v>
      </c>
    </row>
    <row r="16" spans="1:2" x14ac:dyDescent="0.25">
      <c r="A16" s="3"/>
    </row>
    <row r="17" spans="1:1" x14ac:dyDescent="0.25">
      <c r="A17" s="4" t="s">
        <v>12</v>
      </c>
    </row>
    <row r="18" spans="1:1" x14ac:dyDescent="0.25">
      <c r="A18" s="2" t="s">
        <v>13</v>
      </c>
    </row>
    <row r="19" spans="1:1" x14ac:dyDescent="0.25">
      <c r="A19" s="2" t="s">
        <v>14</v>
      </c>
    </row>
    <row r="20" spans="1:1" x14ac:dyDescent="0.25">
      <c r="A20" s="2" t="s">
        <v>15</v>
      </c>
    </row>
    <row r="21" spans="1:1" x14ac:dyDescent="0.25">
      <c r="A21" s="2" t="s">
        <v>16</v>
      </c>
    </row>
    <row r="22" spans="1:1" x14ac:dyDescent="0.25">
      <c r="A22" s="2" t="s">
        <v>17</v>
      </c>
    </row>
    <row r="23" spans="1:1" x14ac:dyDescent="0.25">
      <c r="A23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4"/>
  <sheetViews>
    <sheetView workbookViewId="0"/>
  </sheetViews>
  <sheetFormatPr baseColWidth="10" defaultColWidth="9.140625" defaultRowHeight="15" x14ac:dyDescent="0.25"/>
  <cols>
    <col min="1" max="1" width="38" customWidth="1"/>
    <col min="2" max="2" width="22" customWidth="1"/>
    <col min="3" max="3" width="8" customWidth="1"/>
    <col min="4" max="4" width="16" customWidth="1"/>
  </cols>
  <sheetData>
    <row r="1" spans="1:4" x14ac:dyDescent="0.25">
      <c r="A1" s="7" t="s">
        <v>19</v>
      </c>
      <c r="B1" s="7" t="s">
        <v>20</v>
      </c>
      <c r="C1" s="7" t="s">
        <v>21</v>
      </c>
      <c r="D1" s="7" t="s">
        <v>22</v>
      </c>
    </row>
    <row r="2" spans="1:4" x14ac:dyDescent="0.25">
      <c r="A2" s="3" t="s">
        <v>23</v>
      </c>
      <c r="B2" s="3" t="s">
        <v>24</v>
      </c>
      <c r="C2" s="3">
        <v>39</v>
      </c>
      <c r="D2" s="3">
        <v>3</v>
      </c>
    </row>
    <row r="3" spans="1:4" x14ac:dyDescent="0.25">
      <c r="A3" s="3" t="s">
        <v>25</v>
      </c>
      <c r="B3" s="3" t="s">
        <v>26</v>
      </c>
      <c r="C3" s="3">
        <v>48</v>
      </c>
      <c r="D3" s="3">
        <v>2</v>
      </c>
    </row>
    <row r="4" spans="1:4" x14ac:dyDescent="0.25">
      <c r="A4" s="3" t="s">
        <v>27</v>
      </c>
      <c r="B4" s="3" t="s">
        <v>28</v>
      </c>
      <c r="C4" s="3">
        <v>66</v>
      </c>
      <c r="D4" s="3">
        <v>32</v>
      </c>
    </row>
    <row r="5" spans="1:4" x14ac:dyDescent="0.25">
      <c r="A5" s="3" t="s">
        <v>29</v>
      </c>
      <c r="B5" s="3" t="s">
        <v>30</v>
      </c>
      <c r="C5" s="3">
        <v>37</v>
      </c>
      <c r="D5" s="3">
        <v>1</v>
      </c>
    </row>
    <row r="6" spans="1:4" x14ac:dyDescent="0.25">
      <c r="A6" s="3" t="s">
        <v>31</v>
      </c>
      <c r="B6" s="3" t="s">
        <v>32</v>
      </c>
      <c r="C6" s="3">
        <v>85</v>
      </c>
      <c r="D6" s="3">
        <v>9</v>
      </c>
    </row>
    <row r="7" spans="1:4" x14ac:dyDescent="0.25">
      <c r="A7" s="3" t="s">
        <v>33</v>
      </c>
      <c r="B7" s="3" t="s">
        <v>34</v>
      </c>
      <c r="C7" s="3">
        <v>88</v>
      </c>
      <c r="D7" s="3">
        <v>4</v>
      </c>
    </row>
    <row r="8" spans="1:4" x14ac:dyDescent="0.25">
      <c r="A8" s="3" t="s">
        <v>35</v>
      </c>
      <c r="B8" s="3" t="s">
        <v>36</v>
      </c>
      <c r="C8" s="3">
        <v>21</v>
      </c>
      <c r="D8" s="3">
        <v>5</v>
      </c>
    </row>
    <row r="9" spans="1:4" x14ac:dyDescent="0.25">
      <c r="A9" s="3" t="s">
        <v>37</v>
      </c>
      <c r="B9" s="3" t="s">
        <v>38</v>
      </c>
      <c r="C9" s="3">
        <v>14</v>
      </c>
      <c r="D9" s="3">
        <v>2</v>
      </c>
    </row>
    <row r="10" spans="1:4" x14ac:dyDescent="0.25">
      <c r="A10" s="3" t="s">
        <v>39</v>
      </c>
      <c r="B10" s="3" t="s">
        <v>40</v>
      </c>
      <c r="C10" s="3">
        <v>12</v>
      </c>
      <c r="D10" s="3">
        <v>1</v>
      </c>
    </row>
    <row r="11" spans="1:4" x14ac:dyDescent="0.25">
      <c r="A11" s="3" t="s">
        <v>41</v>
      </c>
      <c r="B11" s="3" t="s">
        <v>42</v>
      </c>
      <c r="C11" s="3">
        <v>17</v>
      </c>
      <c r="D11" s="3">
        <v>1</v>
      </c>
    </row>
    <row r="12" spans="1:4" x14ac:dyDescent="0.25">
      <c r="A12" s="3" t="s">
        <v>43</v>
      </c>
      <c r="B12" s="3" t="s">
        <v>44</v>
      </c>
      <c r="C12" s="3">
        <v>81</v>
      </c>
      <c r="D12" s="3">
        <v>4</v>
      </c>
    </row>
    <row r="13" spans="1:4" x14ac:dyDescent="0.25">
      <c r="A13" s="3" t="s">
        <v>39</v>
      </c>
      <c r="B13" s="3" t="s">
        <v>45</v>
      </c>
      <c r="C13" s="3">
        <v>101</v>
      </c>
      <c r="D13" s="3">
        <v>7</v>
      </c>
    </row>
    <row r="14" spans="1:4" x14ac:dyDescent="0.25">
      <c r="A14" s="3" t="s">
        <v>46</v>
      </c>
      <c r="B14" s="3" t="s">
        <v>47</v>
      </c>
      <c r="C14" s="3">
        <v>9</v>
      </c>
      <c r="D14" s="3">
        <v>5</v>
      </c>
    </row>
    <row r="15" spans="1:4" x14ac:dyDescent="0.25">
      <c r="A15" s="3" t="s">
        <v>48</v>
      </c>
      <c r="B15" s="3" t="s">
        <v>49</v>
      </c>
      <c r="C15" s="3">
        <v>14</v>
      </c>
      <c r="D15" s="3">
        <v>2</v>
      </c>
    </row>
    <row r="16" spans="1:4" x14ac:dyDescent="0.25">
      <c r="A16" s="3" t="s">
        <v>50</v>
      </c>
      <c r="B16" s="3" t="s">
        <v>51</v>
      </c>
      <c r="C16" s="3">
        <v>7</v>
      </c>
      <c r="D16" s="3">
        <v>5</v>
      </c>
    </row>
    <row r="17" spans="1:4" x14ac:dyDescent="0.25">
      <c r="A17" s="3" t="s">
        <v>35</v>
      </c>
      <c r="B17" s="3" t="s">
        <v>52</v>
      </c>
      <c r="C17" s="3">
        <v>2</v>
      </c>
      <c r="D17" s="3">
        <v>5</v>
      </c>
    </row>
    <row r="18" spans="1:4" x14ac:dyDescent="0.25">
      <c r="A18" s="3" t="s">
        <v>53</v>
      </c>
      <c r="B18" s="3" t="s">
        <v>54</v>
      </c>
      <c r="C18" s="3">
        <v>6</v>
      </c>
      <c r="D18" s="3">
        <v>2</v>
      </c>
    </row>
    <row r="19" spans="1:4" x14ac:dyDescent="0.25">
      <c r="A19" s="3" t="s">
        <v>55</v>
      </c>
      <c r="B19" s="3" t="s">
        <v>56</v>
      </c>
      <c r="C19" s="3">
        <v>1</v>
      </c>
      <c r="D19" s="3">
        <v>5</v>
      </c>
    </row>
    <row r="20" spans="1:4" x14ac:dyDescent="0.25">
      <c r="A20" s="3" t="s">
        <v>57</v>
      </c>
      <c r="B20" s="3" t="s">
        <v>58</v>
      </c>
      <c r="C20" s="3">
        <v>7</v>
      </c>
      <c r="D20" s="3">
        <v>1</v>
      </c>
    </row>
    <row r="21" spans="1:4" x14ac:dyDescent="0.25">
      <c r="A21" s="3" t="s">
        <v>59</v>
      </c>
      <c r="B21" s="3" t="s">
        <v>60</v>
      </c>
      <c r="C21" s="3">
        <v>3</v>
      </c>
      <c r="D21" s="3">
        <v>1</v>
      </c>
    </row>
    <row r="22" spans="1:4" x14ac:dyDescent="0.25">
      <c r="A22" s="3" t="s">
        <v>61</v>
      </c>
      <c r="B22" s="3" t="s">
        <v>62</v>
      </c>
      <c r="C22" s="3">
        <v>4</v>
      </c>
      <c r="D22" s="3">
        <v>2</v>
      </c>
    </row>
    <row r="23" spans="1:4" x14ac:dyDescent="0.25">
      <c r="A23" s="3" t="s">
        <v>48</v>
      </c>
      <c r="B23" s="3" t="s">
        <v>63</v>
      </c>
      <c r="C23" s="3">
        <v>29</v>
      </c>
      <c r="D23" s="3">
        <v>32</v>
      </c>
    </row>
    <row r="24" spans="1:4" x14ac:dyDescent="0.25">
      <c r="A24" s="3" t="s">
        <v>64</v>
      </c>
      <c r="B24" s="3" t="s">
        <v>65</v>
      </c>
      <c r="C24" s="3">
        <v>2</v>
      </c>
      <c r="D24" s="3">
        <v>1</v>
      </c>
    </row>
    <row r="25" spans="1:4" x14ac:dyDescent="0.25">
      <c r="A25" s="3" t="s">
        <v>59</v>
      </c>
      <c r="B25" s="3" t="s">
        <v>66</v>
      </c>
      <c r="C25" s="3">
        <v>7</v>
      </c>
      <c r="D25" s="3">
        <v>3</v>
      </c>
    </row>
    <row r="26" spans="1:4" x14ac:dyDescent="0.25">
      <c r="A26" s="3" t="s">
        <v>67</v>
      </c>
      <c r="B26" s="3" t="s">
        <v>68</v>
      </c>
      <c r="C26" s="3">
        <v>10</v>
      </c>
      <c r="D26" s="3">
        <v>1</v>
      </c>
    </row>
    <row r="27" spans="1:4" x14ac:dyDescent="0.25">
      <c r="A27" s="3" t="s">
        <v>69</v>
      </c>
      <c r="B27" s="3" t="s">
        <v>70</v>
      </c>
      <c r="C27" s="3">
        <v>1</v>
      </c>
      <c r="D27" s="3">
        <v>2</v>
      </c>
    </row>
    <row r="28" spans="1:4" x14ac:dyDescent="0.25">
      <c r="A28" s="3" t="s">
        <v>71</v>
      </c>
      <c r="B28" s="3" t="s">
        <v>72</v>
      </c>
      <c r="C28" s="3">
        <v>25</v>
      </c>
      <c r="D28" s="3">
        <v>32</v>
      </c>
    </row>
    <row r="29" spans="1:4" x14ac:dyDescent="0.25">
      <c r="A29" s="3" t="s">
        <v>73</v>
      </c>
      <c r="B29" s="3" t="s">
        <v>74</v>
      </c>
      <c r="C29" s="3">
        <v>6</v>
      </c>
      <c r="D29" s="3">
        <v>3</v>
      </c>
    </row>
    <row r="30" spans="1:4" x14ac:dyDescent="0.25">
      <c r="A30" s="3" t="s">
        <v>61</v>
      </c>
      <c r="B30" s="3" t="s">
        <v>75</v>
      </c>
      <c r="C30" s="3">
        <v>25</v>
      </c>
      <c r="D30" s="3">
        <v>32</v>
      </c>
    </row>
    <row r="31" spans="1:4" x14ac:dyDescent="0.25">
      <c r="A31" s="3" t="s">
        <v>76</v>
      </c>
      <c r="B31" s="3" t="s">
        <v>77</v>
      </c>
      <c r="C31" s="3">
        <v>1</v>
      </c>
      <c r="D31" s="3">
        <v>1</v>
      </c>
    </row>
    <row r="32" spans="1:4" x14ac:dyDescent="0.25">
      <c r="A32" s="3" t="s">
        <v>23</v>
      </c>
      <c r="B32" s="3" t="s">
        <v>78</v>
      </c>
      <c r="C32" s="3">
        <v>4</v>
      </c>
      <c r="D32" s="3">
        <v>3</v>
      </c>
    </row>
    <row r="33" spans="1:4" x14ac:dyDescent="0.25">
      <c r="A33" s="3" t="s">
        <v>79</v>
      </c>
      <c r="B33" s="3" t="s">
        <v>80</v>
      </c>
      <c r="C33" s="3">
        <v>5</v>
      </c>
      <c r="D33" s="3">
        <v>3</v>
      </c>
    </row>
    <row r="34" spans="1:4" x14ac:dyDescent="0.25">
      <c r="A34" s="3" t="s">
        <v>81</v>
      </c>
      <c r="B34" s="3" t="s">
        <v>82</v>
      </c>
      <c r="C34" s="3">
        <v>23</v>
      </c>
      <c r="D34" s="3">
        <v>32</v>
      </c>
    </row>
    <row r="35" spans="1:4" x14ac:dyDescent="0.25">
      <c r="A35" s="3" t="s">
        <v>83</v>
      </c>
      <c r="B35" s="3" t="s">
        <v>84</v>
      </c>
      <c r="C35" s="3">
        <v>4</v>
      </c>
      <c r="D35" s="3">
        <v>3</v>
      </c>
    </row>
    <row r="36" spans="1:4" x14ac:dyDescent="0.25">
      <c r="A36" s="3" t="s">
        <v>48</v>
      </c>
      <c r="B36" s="3" t="s">
        <v>85</v>
      </c>
      <c r="C36" s="3">
        <v>18</v>
      </c>
      <c r="D36" s="3">
        <v>32</v>
      </c>
    </row>
    <row r="37" spans="1:4" x14ac:dyDescent="0.25">
      <c r="A37" s="3" t="s">
        <v>86</v>
      </c>
      <c r="B37" s="3" t="s">
        <v>87</v>
      </c>
      <c r="C37" s="3">
        <v>16</v>
      </c>
      <c r="D37" s="3">
        <v>32</v>
      </c>
    </row>
    <row r="38" spans="1:4" x14ac:dyDescent="0.25">
      <c r="A38" s="3" t="s">
        <v>88</v>
      </c>
      <c r="B38" s="3" t="s">
        <v>89</v>
      </c>
      <c r="C38" s="3">
        <v>18</v>
      </c>
      <c r="D38" s="3">
        <v>32</v>
      </c>
    </row>
    <row r="39" spans="1:4" x14ac:dyDescent="0.25">
      <c r="A39" s="3" t="s">
        <v>79</v>
      </c>
      <c r="B39" s="3" t="s">
        <v>90</v>
      </c>
      <c r="C39" s="3">
        <v>16</v>
      </c>
      <c r="D39" s="3">
        <v>32</v>
      </c>
    </row>
    <row r="40" spans="1:4" x14ac:dyDescent="0.25">
      <c r="A40" s="3" t="s">
        <v>81</v>
      </c>
      <c r="B40" s="3" t="s">
        <v>91</v>
      </c>
      <c r="C40" s="3">
        <v>18</v>
      </c>
      <c r="D40" s="3">
        <v>32</v>
      </c>
    </row>
    <row r="41" spans="1:4" x14ac:dyDescent="0.25">
      <c r="A41" s="3" t="s">
        <v>92</v>
      </c>
      <c r="B41" s="3" t="s">
        <v>93</v>
      </c>
      <c r="C41" s="3">
        <v>16</v>
      </c>
      <c r="D41" s="3">
        <v>32</v>
      </c>
    </row>
    <row r="42" spans="1:4" x14ac:dyDescent="0.25">
      <c r="A42" s="3" t="s">
        <v>94</v>
      </c>
      <c r="B42" s="3" t="s">
        <v>95</v>
      </c>
      <c r="C42" s="3">
        <v>1</v>
      </c>
      <c r="D42" s="3">
        <v>1</v>
      </c>
    </row>
    <row r="43" spans="1:4" x14ac:dyDescent="0.25">
      <c r="A43" s="3" t="s">
        <v>96</v>
      </c>
      <c r="B43" s="3" t="s">
        <v>97</v>
      </c>
      <c r="C43" s="3">
        <v>17</v>
      </c>
      <c r="D43" s="3">
        <v>32</v>
      </c>
    </row>
    <row r="44" spans="1:4" x14ac:dyDescent="0.25">
      <c r="A44" s="3" t="s">
        <v>48</v>
      </c>
      <c r="B44" s="3" t="s">
        <v>98</v>
      </c>
      <c r="C44" s="3">
        <v>17</v>
      </c>
      <c r="D44" s="3">
        <v>32</v>
      </c>
    </row>
    <row r="45" spans="1:4" x14ac:dyDescent="0.25">
      <c r="A45" s="3" t="s">
        <v>55</v>
      </c>
      <c r="B45" s="3" t="s">
        <v>99</v>
      </c>
      <c r="C45" s="3">
        <v>0</v>
      </c>
      <c r="D45" s="3">
        <v>1</v>
      </c>
    </row>
    <row r="46" spans="1:4" x14ac:dyDescent="0.25">
      <c r="A46" s="3" t="s">
        <v>69</v>
      </c>
      <c r="B46" s="3" t="s">
        <v>100</v>
      </c>
      <c r="C46" s="3">
        <v>16</v>
      </c>
      <c r="D46" s="3">
        <v>32</v>
      </c>
    </row>
    <row r="47" spans="1:4" x14ac:dyDescent="0.25">
      <c r="A47" s="3" t="s">
        <v>79</v>
      </c>
      <c r="B47" s="3" t="s">
        <v>101</v>
      </c>
      <c r="C47" s="3">
        <v>16</v>
      </c>
      <c r="D47" s="3">
        <v>32</v>
      </c>
    </row>
    <row r="48" spans="1:4" x14ac:dyDescent="0.25">
      <c r="A48" s="3" t="s">
        <v>37</v>
      </c>
      <c r="B48" s="3" t="s">
        <v>102</v>
      </c>
      <c r="C48" s="3">
        <v>45</v>
      </c>
      <c r="D48" s="3">
        <v>1</v>
      </c>
    </row>
    <row r="49" spans="1:4" x14ac:dyDescent="0.25">
      <c r="A49" s="3" t="s">
        <v>103</v>
      </c>
      <c r="B49" s="3" t="s">
        <v>104</v>
      </c>
      <c r="C49" s="3">
        <v>30</v>
      </c>
      <c r="D49" s="3">
        <v>9</v>
      </c>
    </row>
    <row r="50" spans="1:4" x14ac:dyDescent="0.25">
      <c r="A50" s="3" t="s">
        <v>25</v>
      </c>
      <c r="B50" s="3" t="s">
        <v>105</v>
      </c>
      <c r="C50" s="3">
        <v>39</v>
      </c>
      <c r="D50" s="3">
        <v>4</v>
      </c>
    </row>
    <row r="51" spans="1:4" x14ac:dyDescent="0.25">
      <c r="A51" s="3" t="s">
        <v>106</v>
      </c>
      <c r="B51" s="3" t="s">
        <v>107</v>
      </c>
      <c r="C51" s="3">
        <v>11</v>
      </c>
      <c r="D51" s="3">
        <v>9</v>
      </c>
    </row>
    <row r="52" spans="1:4" x14ac:dyDescent="0.25">
      <c r="A52" s="3" t="s">
        <v>108</v>
      </c>
      <c r="B52" s="3" t="s">
        <v>109</v>
      </c>
      <c r="C52" s="3">
        <v>14</v>
      </c>
      <c r="D52" s="3">
        <v>9</v>
      </c>
    </row>
    <row r="53" spans="1:4" x14ac:dyDescent="0.25">
      <c r="A53" s="3" t="s">
        <v>53</v>
      </c>
      <c r="B53" s="3" t="s">
        <v>110</v>
      </c>
      <c r="C53" s="3">
        <v>12</v>
      </c>
      <c r="D53" s="3">
        <v>9</v>
      </c>
    </row>
    <row r="54" spans="1:4" x14ac:dyDescent="0.25">
      <c r="A54" s="3" t="s">
        <v>43</v>
      </c>
      <c r="B54" s="3" t="s">
        <v>111</v>
      </c>
      <c r="C54" s="3">
        <v>26</v>
      </c>
      <c r="D54" s="3">
        <v>4</v>
      </c>
    </row>
    <row r="55" spans="1:4" x14ac:dyDescent="0.25">
      <c r="A55" s="3" t="s">
        <v>112</v>
      </c>
      <c r="B55" s="3" t="s">
        <v>113</v>
      </c>
      <c r="C55" s="3">
        <v>19</v>
      </c>
      <c r="D55" s="3">
        <v>1</v>
      </c>
    </row>
    <row r="56" spans="1:4" x14ac:dyDescent="0.25">
      <c r="A56" s="3" t="s">
        <v>114</v>
      </c>
      <c r="B56" s="3" t="s">
        <v>115</v>
      </c>
      <c r="C56" s="3">
        <v>14</v>
      </c>
      <c r="D56" s="3">
        <v>9</v>
      </c>
    </row>
    <row r="57" spans="1:4" x14ac:dyDescent="0.25">
      <c r="A57" s="3" t="s">
        <v>69</v>
      </c>
      <c r="B57" s="3" t="s">
        <v>116</v>
      </c>
      <c r="C57" s="3">
        <v>8</v>
      </c>
      <c r="D57" s="3">
        <v>9</v>
      </c>
    </row>
    <row r="58" spans="1:4" x14ac:dyDescent="0.25">
      <c r="A58" s="3" t="s">
        <v>83</v>
      </c>
      <c r="B58" s="3" t="s">
        <v>117</v>
      </c>
      <c r="C58" s="3">
        <v>8</v>
      </c>
      <c r="D58" s="3">
        <v>9</v>
      </c>
    </row>
    <row r="59" spans="1:4" x14ac:dyDescent="0.25">
      <c r="A59" s="3" t="s">
        <v>79</v>
      </c>
      <c r="B59" s="3" t="s">
        <v>118</v>
      </c>
      <c r="C59" s="3">
        <v>18</v>
      </c>
      <c r="D59" s="3">
        <v>4</v>
      </c>
    </row>
    <row r="60" spans="1:4" x14ac:dyDescent="0.25">
      <c r="A60" s="3" t="s">
        <v>119</v>
      </c>
      <c r="B60" s="3" t="s">
        <v>120</v>
      </c>
      <c r="C60" s="3">
        <v>10</v>
      </c>
      <c r="D60" s="3">
        <v>9</v>
      </c>
    </row>
    <row r="61" spans="1:4" x14ac:dyDescent="0.25">
      <c r="A61" s="3" t="s">
        <v>119</v>
      </c>
      <c r="B61" s="3" t="s">
        <v>121</v>
      </c>
      <c r="C61" s="3">
        <v>8</v>
      </c>
      <c r="D61" s="3">
        <v>9</v>
      </c>
    </row>
    <row r="62" spans="1:4" x14ac:dyDescent="0.25">
      <c r="A62" s="3" t="s">
        <v>108</v>
      </c>
      <c r="B62" s="3" t="s">
        <v>122</v>
      </c>
      <c r="C62" s="3">
        <v>36</v>
      </c>
      <c r="D62" s="3">
        <v>7</v>
      </c>
    </row>
    <row r="63" spans="1:4" x14ac:dyDescent="0.25">
      <c r="A63" s="3" t="s">
        <v>112</v>
      </c>
      <c r="B63" s="3" t="s">
        <v>123</v>
      </c>
      <c r="C63" s="3">
        <v>13</v>
      </c>
      <c r="D63" s="3">
        <v>1</v>
      </c>
    </row>
    <row r="64" spans="1:4" x14ac:dyDescent="0.25">
      <c r="A64" s="3" t="s">
        <v>124</v>
      </c>
      <c r="B64" s="3" t="s">
        <v>125</v>
      </c>
      <c r="C64" s="3">
        <v>7</v>
      </c>
      <c r="D64" s="3">
        <v>9</v>
      </c>
    </row>
    <row r="65" spans="1:4" x14ac:dyDescent="0.25">
      <c r="A65" s="3" t="s">
        <v>43</v>
      </c>
      <c r="B65" s="3" t="s">
        <v>126</v>
      </c>
      <c r="C65" s="3">
        <v>7</v>
      </c>
      <c r="D65" s="3">
        <v>9</v>
      </c>
    </row>
    <row r="66" spans="1:4" x14ac:dyDescent="0.25">
      <c r="A66" s="3" t="s">
        <v>127</v>
      </c>
      <c r="B66" s="3" t="s">
        <v>128</v>
      </c>
      <c r="C66" s="3">
        <v>18</v>
      </c>
      <c r="D66" s="3">
        <v>1</v>
      </c>
    </row>
    <row r="67" spans="1:4" x14ac:dyDescent="0.25">
      <c r="A67" s="3" t="s">
        <v>119</v>
      </c>
      <c r="B67" s="3" t="s">
        <v>129</v>
      </c>
      <c r="C67" s="3">
        <v>7</v>
      </c>
      <c r="D67" s="3">
        <v>9</v>
      </c>
    </row>
    <row r="68" spans="1:4" x14ac:dyDescent="0.25">
      <c r="A68" s="3" t="s">
        <v>23</v>
      </c>
      <c r="B68" s="3" t="s">
        <v>130</v>
      </c>
      <c r="C68" s="3">
        <v>3</v>
      </c>
      <c r="D68" s="3">
        <v>9</v>
      </c>
    </row>
    <row r="69" spans="1:4" x14ac:dyDescent="0.25">
      <c r="A69" s="3" t="s">
        <v>119</v>
      </c>
      <c r="B69" s="3" t="s">
        <v>131</v>
      </c>
      <c r="C69" s="3">
        <v>3</v>
      </c>
      <c r="D69" s="3">
        <v>9</v>
      </c>
    </row>
    <row r="70" spans="1:4" x14ac:dyDescent="0.25">
      <c r="A70" s="3" t="s">
        <v>46</v>
      </c>
      <c r="B70" s="3" t="s">
        <v>132</v>
      </c>
      <c r="C70" s="3">
        <v>45</v>
      </c>
      <c r="D70" s="3">
        <v>4</v>
      </c>
    </row>
    <row r="71" spans="1:4" x14ac:dyDescent="0.25">
      <c r="A71" s="3" t="s">
        <v>33</v>
      </c>
      <c r="B71" s="3" t="s">
        <v>133</v>
      </c>
      <c r="C71" s="3">
        <v>8</v>
      </c>
      <c r="D71" s="3">
        <v>4</v>
      </c>
    </row>
    <row r="72" spans="1:4" x14ac:dyDescent="0.25">
      <c r="A72" s="3" t="s">
        <v>134</v>
      </c>
      <c r="B72" s="3" t="s">
        <v>135</v>
      </c>
      <c r="C72" s="3">
        <v>5</v>
      </c>
      <c r="D72" s="3">
        <v>4</v>
      </c>
    </row>
    <row r="73" spans="1:4" x14ac:dyDescent="0.25">
      <c r="A73" s="3" t="s">
        <v>48</v>
      </c>
      <c r="B73" s="3" t="s">
        <v>136</v>
      </c>
      <c r="C73" s="3">
        <v>8</v>
      </c>
      <c r="D73" s="3">
        <v>4</v>
      </c>
    </row>
    <row r="74" spans="1:4" x14ac:dyDescent="0.25">
      <c r="A74" s="3" t="s">
        <v>96</v>
      </c>
      <c r="B74" s="3" t="s">
        <v>137</v>
      </c>
      <c r="C74" s="3">
        <v>27</v>
      </c>
      <c r="D74" s="3">
        <v>7</v>
      </c>
    </row>
    <row r="75" spans="1:4" x14ac:dyDescent="0.25">
      <c r="A75" s="3" t="s">
        <v>138</v>
      </c>
      <c r="B75" s="3" t="s">
        <v>139</v>
      </c>
      <c r="C75" s="3">
        <v>2</v>
      </c>
      <c r="D75" s="3">
        <v>1</v>
      </c>
    </row>
    <row r="76" spans="1:4" x14ac:dyDescent="0.25">
      <c r="A76" s="3" t="s">
        <v>127</v>
      </c>
      <c r="B76" s="3" t="s">
        <v>140</v>
      </c>
      <c r="C76" s="3">
        <v>13</v>
      </c>
      <c r="D76" s="3">
        <v>1</v>
      </c>
    </row>
    <row r="77" spans="1:4" x14ac:dyDescent="0.25">
      <c r="A77" s="3" t="s">
        <v>103</v>
      </c>
      <c r="B77" s="3" t="s">
        <v>141</v>
      </c>
      <c r="C77" s="3">
        <v>11</v>
      </c>
      <c r="D77" s="3">
        <v>1</v>
      </c>
    </row>
    <row r="78" spans="1:4" x14ac:dyDescent="0.25">
      <c r="A78" s="3" t="s">
        <v>142</v>
      </c>
      <c r="B78" s="3" t="s">
        <v>143</v>
      </c>
      <c r="C78" s="3">
        <v>8</v>
      </c>
      <c r="D78" s="3">
        <v>4</v>
      </c>
    </row>
    <row r="79" spans="1:4" x14ac:dyDescent="0.25">
      <c r="A79" s="3" t="s">
        <v>103</v>
      </c>
      <c r="B79" s="3" t="s">
        <v>144</v>
      </c>
      <c r="C79" s="3">
        <v>11</v>
      </c>
      <c r="D79" s="3">
        <v>1</v>
      </c>
    </row>
    <row r="80" spans="1:4" x14ac:dyDescent="0.25">
      <c r="A80" s="3" t="s">
        <v>33</v>
      </c>
      <c r="B80" s="3" t="s">
        <v>145</v>
      </c>
      <c r="C80" s="3">
        <v>8</v>
      </c>
      <c r="D80" s="3">
        <v>4</v>
      </c>
    </row>
    <row r="81" spans="1:4" x14ac:dyDescent="0.25">
      <c r="A81" s="3" t="s">
        <v>41</v>
      </c>
      <c r="B81" s="3" t="s">
        <v>146</v>
      </c>
      <c r="C81" s="3">
        <v>8</v>
      </c>
      <c r="D81" s="3">
        <v>1</v>
      </c>
    </row>
    <row r="82" spans="1:4" x14ac:dyDescent="0.25">
      <c r="A82" s="3" t="s">
        <v>147</v>
      </c>
      <c r="B82" s="3" t="s">
        <v>148</v>
      </c>
      <c r="C82" s="3">
        <v>11</v>
      </c>
      <c r="D82" s="3">
        <v>4</v>
      </c>
    </row>
    <row r="83" spans="1:4" x14ac:dyDescent="0.25">
      <c r="A83" s="3" t="s">
        <v>55</v>
      </c>
      <c r="B83" s="3" t="s">
        <v>149</v>
      </c>
      <c r="C83" s="3">
        <v>5</v>
      </c>
      <c r="D83" s="3">
        <v>4</v>
      </c>
    </row>
    <row r="84" spans="1:4" x14ac:dyDescent="0.25">
      <c r="A84" s="3" t="s">
        <v>150</v>
      </c>
      <c r="B84" s="3" t="s">
        <v>151</v>
      </c>
      <c r="C84" s="3">
        <v>14</v>
      </c>
      <c r="D84" s="3">
        <v>1</v>
      </c>
    </row>
    <row r="85" spans="1:4" x14ac:dyDescent="0.25">
      <c r="A85" s="3" t="s">
        <v>124</v>
      </c>
      <c r="B85" s="3" t="s">
        <v>152</v>
      </c>
      <c r="C85" s="3">
        <v>7</v>
      </c>
      <c r="D85" s="3">
        <v>1</v>
      </c>
    </row>
    <row r="86" spans="1:4" x14ac:dyDescent="0.25">
      <c r="A86" s="3" t="s">
        <v>153</v>
      </c>
      <c r="B86" s="3" t="s">
        <v>154</v>
      </c>
      <c r="C86" s="3">
        <v>3</v>
      </c>
      <c r="D86" s="3">
        <v>4</v>
      </c>
    </row>
    <row r="87" spans="1:4" x14ac:dyDescent="0.25">
      <c r="A87" s="3" t="s">
        <v>155</v>
      </c>
      <c r="B87" s="3" t="s">
        <v>156</v>
      </c>
      <c r="C87" s="3">
        <v>6</v>
      </c>
      <c r="D87" s="3">
        <v>1</v>
      </c>
    </row>
    <row r="88" spans="1:4" x14ac:dyDescent="0.25">
      <c r="A88" s="3" t="s">
        <v>39</v>
      </c>
      <c r="B88" s="3" t="s">
        <v>157</v>
      </c>
      <c r="C88" s="3">
        <v>15</v>
      </c>
      <c r="D88" s="3">
        <v>4</v>
      </c>
    </row>
    <row r="89" spans="1:4" x14ac:dyDescent="0.25">
      <c r="A89" s="3" t="s">
        <v>86</v>
      </c>
      <c r="B89" s="3" t="s">
        <v>158</v>
      </c>
      <c r="C89" s="3">
        <v>5</v>
      </c>
      <c r="D89" s="3">
        <v>1</v>
      </c>
    </row>
    <row r="90" spans="1:4" x14ac:dyDescent="0.25">
      <c r="A90" s="3" t="s">
        <v>69</v>
      </c>
      <c r="B90" s="3" t="s">
        <v>159</v>
      </c>
      <c r="C90" s="3">
        <v>10</v>
      </c>
      <c r="D90" s="3">
        <v>1</v>
      </c>
    </row>
    <row r="91" spans="1:4" x14ac:dyDescent="0.25">
      <c r="A91" s="3" t="s">
        <v>160</v>
      </c>
      <c r="B91" s="3" t="s">
        <v>161</v>
      </c>
      <c r="C91" s="3">
        <v>3</v>
      </c>
      <c r="D91" s="3">
        <v>1</v>
      </c>
    </row>
    <row r="92" spans="1:4" x14ac:dyDescent="0.25">
      <c r="A92" s="3" t="s">
        <v>25</v>
      </c>
      <c r="B92" s="3" t="s">
        <v>162</v>
      </c>
      <c r="C92" s="3">
        <v>4</v>
      </c>
      <c r="D92" s="3">
        <v>4</v>
      </c>
    </row>
    <row r="93" spans="1:4" x14ac:dyDescent="0.25">
      <c r="A93" s="3" t="s">
        <v>48</v>
      </c>
      <c r="B93" s="3" t="s">
        <v>163</v>
      </c>
      <c r="C93" s="3">
        <v>12</v>
      </c>
      <c r="D93" s="3">
        <v>4</v>
      </c>
    </row>
    <row r="94" spans="1:4" x14ac:dyDescent="0.25">
      <c r="A94" s="3" t="s">
        <v>160</v>
      </c>
      <c r="B94" s="3" t="s">
        <v>164</v>
      </c>
      <c r="C94" s="3">
        <v>8</v>
      </c>
      <c r="D94" s="3">
        <v>1</v>
      </c>
    </row>
    <row r="95" spans="1:4" x14ac:dyDescent="0.25">
      <c r="A95" s="3" t="s">
        <v>81</v>
      </c>
      <c r="B95" s="3" t="s">
        <v>165</v>
      </c>
      <c r="C95" s="3">
        <v>23</v>
      </c>
      <c r="D95" s="3">
        <v>7</v>
      </c>
    </row>
    <row r="96" spans="1:4" x14ac:dyDescent="0.25">
      <c r="A96" s="3" t="s">
        <v>50</v>
      </c>
      <c r="B96" s="3" t="s">
        <v>166</v>
      </c>
      <c r="C96" s="3">
        <v>6</v>
      </c>
      <c r="D96" s="3">
        <v>1</v>
      </c>
    </row>
    <row r="97" spans="1:4" x14ac:dyDescent="0.25">
      <c r="A97" s="3" t="s">
        <v>79</v>
      </c>
      <c r="B97" s="3" t="s">
        <v>167</v>
      </c>
      <c r="C97" s="3">
        <v>2</v>
      </c>
      <c r="D97" s="3">
        <v>4</v>
      </c>
    </row>
    <row r="98" spans="1:4" x14ac:dyDescent="0.25">
      <c r="A98" s="3" t="s">
        <v>35</v>
      </c>
      <c r="B98" s="3" t="s">
        <v>168</v>
      </c>
      <c r="C98" s="3">
        <v>28</v>
      </c>
      <c r="D98" s="3">
        <v>5</v>
      </c>
    </row>
    <row r="99" spans="1:4" x14ac:dyDescent="0.25">
      <c r="A99" s="3" t="s">
        <v>69</v>
      </c>
      <c r="B99" s="3" t="s">
        <v>169</v>
      </c>
      <c r="C99" s="3">
        <v>5</v>
      </c>
      <c r="D99" s="3">
        <v>1</v>
      </c>
    </row>
    <row r="100" spans="1:4" x14ac:dyDescent="0.25">
      <c r="A100" s="3" t="s">
        <v>170</v>
      </c>
      <c r="B100" s="3" t="s">
        <v>171</v>
      </c>
      <c r="C100" s="3">
        <v>5</v>
      </c>
      <c r="D100" s="3">
        <v>1</v>
      </c>
    </row>
    <row r="101" spans="1:4" x14ac:dyDescent="0.25">
      <c r="A101" s="3" t="s">
        <v>48</v>
      </c>
      <c r="B101" s="3" t="s">
        <v>172</v>
      </c>
      <c r="C101" s="3">
        <v>9</v>
      </c>
      <c r="D101" s="3">
        <v>4</v>
      </c>
    </row>
    <row r="102" spans="1:4" x14ac:dyDescent="0.25">
      <c r="A102" s="3" t="s">
        <v>67</v>
      </c>
      <c r="B102" s="3" t="s">
        <v>173</v>
      </c>
      <c r="C102" s="3">
        <v>17</v>
      </c>
      <c r="D102" s="3">
        <v>7</v>
      </c>
    </row>
    <row r="103" spans="1:4" x14ac:dyDescent="0.25">
      <c r="A103" s="3" t="s">
        <v>174</v>
      </c>
      <c r="B103" s="3" t="s">
        <v>175</v>
      </c>
      <c r="C103" s="3">
        <v>5</v>
      </c>
      <c r="D103" s="3">
        <v>4</v>
      </c>
    </row>
    <row r="104" spans="1:4" x14ac:dyDescent="0.25">
      <c r="A104" s="3" t="s">
        <v>153</v>
      </c>
      <c r="B104" s="3" t="s">
        <v>176</v>
      </c>
      <c r="C104" s="3">
        <v>0</v>
      </c>
      <c r="D104" s="3">
        <v>1</v>
      </c>
    </row>
    <row r="105" spans="1:4" x14ac:dyDescent="0.25">
      <c r="A105" s="3" t="s">
        <v>150</v>
      </c>
      <c r="B105" s="3" t="s">
        <v>177</v>
      </c>
      <c r="C105" s="3">
        <v>1</v>
      </c>
      <c r="D105" s="3">
        <v>1</v>
      </c>
    </row>
    <row r="106" spans="1:4" x14ac:dyDescent="0.25">
      <c r="A106" s="3" t="s">
        <v>178</v>
      </c>
      <c r="B106" s="3" t="s">
        <v>179</v>
      </c>
      <c r="C106" s="3">
        <v>3</v>
      </c>
      <c r="D106" s="3">
        <v>4</v>
      </c>
    </row>
    <row r="107" spans="1:4" x14ac:dyDescent="0.25">
      <c r="A107" s="3" t="s">
        <v>23</v>
      </c>
      <c r="B107" s="3" t="s">
        <v>180</v>
      </c>
      <c r="C107" s="3">
        <v>9</v>
      </c>
      <c r="D107" s="3">
        <v>7</v>
      </c>
    </row>
    <row r="108" spans="1:4" x14ac:dyDescent="0.25">
      <c r="A108" s="3" t="s">
        <v>27</v>
      </c>
      <c r="B108" s="3" t="s">
        <v>181</v>
      </c>
      <c r="C108" s="3">
        <v>2</v>
      </c>
      <c r="D108" s="3">
        <v>4</v>
      </c>
    </row>
    <row r="109" spans="1:4" x14ac:dyDescent="0.25">
      <c r="A109" s="3" t="s">
        <v>53</v>
      </c>
      <c r="B109" s="3" t="s">
        <v>182</v>
      </c>
      <c r="C109" s="3">
        <v>22</v>
      </c>
      <c r="D109" s="3">
        <v>5</v>
      </c>
    </row>
    <row r="110" spans="1:4" x14ac:dyDescent="0.25">
      <c r="A110" s="3" t="s">
        <v>67</v>
      </c>
      <c r="B110" s="3" t="s">
        <v>183</v>
      </c>
      <c r="C110" s="3">
        <v>26</v>
      </c>
      <c r="D110" s="3">
        <v>4</v>
      </c>
    </row>
    <row r="111" spans="1:4" x14ac:dyDescent="0.25">
      <c r="A111" s="3" t="s">
        <v>124</v>
      </c>
      <c r="B111" s="3" t="s">
        <v>184</v>
      </c>
      <c r="C111" s="3">
        <v>2</v>
      </c>
      <c r="D111" s="3">
        <v>4</v>
      </c>
    </row>
    <row r="112" spans="1:4" x14ac:dyDescent="0.25">
      <c r="A112" s="3" t="s">
        <v>81</v>
      </c>
      <c r="B112" s="3" t="s">
        <v>185</v>
      </c>
      <c r="C112" s="3">
        <v>14</v>
      </c>
      <c r="D112" s="3">
        <v>7</v>
      </c>
    </row>
    <row r="113" spans="1:4" x14ac:dyDescent="0.25">
      <c r="A113" s="3" t="s">
        <v>186</v>
      </c>
      <c r="B113" s="3" t="s">
        <v>187</v>
      </c>
      <c r="C113" s="3">
        <v>6</v>
      </c>
      <c r="D113" s="3">
        <v>7</v>
      </c>
    </row>
    <row r="114" spans="1:4" x14ac:dyDescent="0.25">
      <c r="A114" s="3" t="s">
        <v>188</v>
      </c>
      <c r="B114" s="3" t="s">
        <v>189</v>
      </c>
      <c r="C114" s="3">
        <v>6</v>
      </c>
      <c r="D114" s="3">
        <v>7</v>
      </c>
    </row>
    <row r="115" spans="1:4" x14ac:dyDescent="0.25">
      <c r="A115" s="3" t="s">
        <v>186</v>
      </c>
      <c r="B115" s="3" t="s">
        <v>190</v>
      </c>
      <c r="C115" s="3">
        <v>2</v>
      </c>
      <c r="D115" s="3">
        <v>7</v>
      </c>
    </row>
    <row r="116" spans="1:4" x14ac:dyDescent="0.25">
      <c r="A116" s="3" t="s">
        <v>92</v>
      </c>
      <c r="B116" s="3" t="s">
        <v>191</v>
      </c>
      <c r="C116" s="3">
        <v>15</v>
      </c>
      <c r="D116" s="3">
        <v>4</v>
      </c>
    </row>
    <row r="117" spans="1:4" x14ac:dyDescent="0.25">
      <c r="A117" s="3" t="s">
        <v>39</v>
      </c>
      <c r="B117" s="3" t="s">
        <v>192</v>
      </c>
      <c r="C117" s="3">
        <v>18</v>
      </c>
      <c r="D117" s="3">
        <v>4</v>
      </c>
    </row>
    <row r="118" spans="1:4" x14ac:dyDescent="0.25">
      <c r="A118" s="3" t="s">
        <v>193</v>
      </c>
      <c r="B118" s="3" t="s">
        <v>194</v>
      </c>
      <c r="C118" s="3">
        <v>5</v>
      </c>
      <c r="D118" s="3">
        <v>7</v>
      </c>
    </row>
    <row r="119" spans="1:4" x14ac:dyDescent="0.25">
      <c r="A119" s="3" t="s">
        <v>79</v>
      </c>
      <c r="B119" s="3" t="s">
        <v>195</v>
      </c>
      <c r="C119" s="3">
        <v>3</v>
      </c>
      <c r="D119" s="3">
        <v>1</v>
      </c>
    </row>
    <row r="120" spans="1:4" x14ac:dyDescent="0.25">
      <c r="A120" s="3" t="s">
        <v>43</v>
      </c>
      <c r="B120" s="3" t="s">
        <v>196</v>
      </c>
      <c r="C120" s="3">
        <v>14</v>
      </c>
      <c r="D120" s="3">
        <v>4</v>
      </c>
    </row>
    <row r="121" spans="1:4" x14ac:dyDescent="0.25">
      <c r="A121" s="3" t="s">
        <v>55</v>
      </c>
      <c r="B121" s="3" t="s">
        <v>197</v>
      </c>
      <c r="C121" s="3">
        <v>8</v>
      </c>
      <c r="D121" s="3">
        <v>7</v>
      </c>
    </row>
    <row r="122" spans="1:4" x14ac:dyDescent="0.25">
      <c r="A122" s="3" t="s">
        <v>198</v>
      </c>
      <c r="B122" s="3" t="s">
        <v>199</v>
      </c>
      <c r="C122" s="3">
        <v>14</v>
      </c>
      <c r="D122" s="3">
        <v>5</v>
      </c>
    </row>
    <row r="123" spans="1:4" x14ac:dyDescent="0.25">
      <c r="A123" s="3" t="s">
        <v>198</v>
      </c>
      <c r="B123" s="3" t="s">
        <v>200</v>
      </c>
      <c r="C123" s="3">
        <v>13</v>
      </c>
      <c r="D123" s="3">
        <v>5</v>
      </c>
    </row>
    <row r="124" spans="1:4" x14ac:dyDescent="0.25">
      <c r="A124" s="3" t="s">
        <v>201</v>
      </c>
      <c r="B124" s="3" t="s">
        <v>202</v>
      </c>
      <c r="C124" s="3">
        <v>5</v>
      </c>
      <c r="D124" s="3">
        <v>7</v>
      </c>
    </row>
    <row r="125" spans="1:4" x14ac:dyDescent="0.25">
      <c r="A125" s="3" t="s">
        <v>55</v>
      </c>
      <c r="B125" s="3" t="s">
        <v>203</v>
      </c>
      <c r="C125" s="3">
        <v>3</v>
      </c>
      <c r="D125" s="3">
        <v>7</v>
      </c>
    </row>
    <row r="126" spans="1:4" x14ac:dyDescent="0.25">
      <c r="A126" s="3" t="s">
        <v>39</v>
      </c>
      <c r="B126" s="3" t="s">
        <v>204</v>
      </c>
      <c r="C126" s="3">
        <v>7</v>
      </c>
      <c r="D126" s="3">
        <v>7</v>
      </c>
    </row>
    <row r="127" spans="1:4" x14ac:dyDescent="0.25">
      <c r="A127" s="3" t="s">
        <v>79</v>
      </c>
      <c r="B127" s="3" t="s">
        <v>205</v>
      </c>
      <c r="C127" s="3">
        <v>0</v>
      </c>
      <c r="D127" s="3">
        <v>1</v>
      </c>
    </row>
    <row r="128" spans="1:4" x14ac:dyDescent="0.25">
      <c r="A128" s="3" t="s">
        <v>201</v>
      </c>
      <c r="B128" s="3" t="s">
        <v>206</v>
      </c>
      <c r="C128" s="3">
        <v>5</v>
      </c>
      <c r="D128" s="3">
        <v>7</v>
      </c>
    </row>
    <row r="129" spans="1:4" x14ac:dyDescent="0.25">
      <c r="A129" s="3" t="s">
        <v>48</v>
      </c>
      <c r="B129" s="3" t="s">
        <v>207</v>
      </c>
      <c r="C129" s="3">
        <v>13</v>
      </c>
      <c r="D129" s="3">
        <v>4</v>
      </c>
    </row>
    <row r="130" spans="1:4" x14ac:dyDescent="0.25">
      <c r="A130" s="3" t="s">
        <v>35</v>
      </c>
      <c r="B130" s="3" t="s">
        <v>208</v>
      </c>
      <c r="C130" s="3">
        <v>9</v>
      </c>
      <c r="D130" s="3">
        <v>5</v>
      </c>
    </row>
    <row r="131" spans="1:4" x14ac:dyDescent="0.25">
      <c r="A131" s="3" t="s">
        <v>67</v>
      </c>
      <c r="B131" s="3" t="s">
        <v>209</v>
      </c>
      <c r="C131" s="3">
        <v>13</v>
      </c>
      <c r="D131" s="3">
        <v>4</v>
      </c>
    </row>
    <row r="132" spans="1:4" x14ac:dyDescent="0.25">
      <c r="A132" s="3" t="s">
        <v>198</v>
      </c>
      <c r="B132" s="3" t="s">
        <v>210</v>
      </c>
      <c r="C132" s="3">
        <v>9</v>
      </c>
      <c r="D132" s="3">
        <v>5</v>
      </c>
    </row>
    <row r="133" spans="1:4" x14ac:dyDescent="0.25">
      <c r="A133" s="3" t="s">
        <v>193</v>
      </c>
      <c r="B133" s="3" t="s">
        <v>211</v>
      </c>
      <c r="C133" s="3">
        <v>2</v>
      </c>
      <c r="D133" s="3">
        <v>7</v>
      </c>
    </row>
    <row r="134" spans="1:4" x14ac:dyDescent="0.25">
      <c r="A134" s="3" t="s">
        <v>212</v>
      </c>
      <c r="B134" s="3" t="s">
        <v>213</v>
      </c>
      <c r="C134" s="3">
        <v>37</v>
      </c>
      <c r="D134" s="3">
        <v>21</v>
      </c>
    </row>
    <row r="135" spans="1:4" x14ac:dyDescent="0.25">
      <c r="A135" s="3" t="s">
        <v>214</v>
      </c>
      <c r="B135" s="3" t="s">
        <v>215</v>
      </c>
      <c r="C135" s="3">
        <v>2</v>
      </c>
      <c r="D135" s="3">
        <v>7</v>
      </c>
    </row>
    <row r="136" spans="1:4" x14ac:dyDescent="0.25">
      <c r="A136" s="3" t="s">
        <v>216</v>
      </c>
      <c r="B136" s="3" t="s">
        <v>217</v>
      </c>
      <c r="C136" s="3">
        <v>2</v>
      </c>
      <c r="D136" s="3">
        <v>7</v>
      </c>
    </row>
    <row r="137" spans="1:4" x14ac:dyDescent="0.25">
      <c r="A137" s="3" t="s">
        <v>170</v>
      </c>
      <c r="B137" s="3" t="s">
        <v>218</v>
      </c>
      <c r="C137" s="3">
        <v>13</v>
      </c>
      <c r="D137" s="3">
        <v>4</v>
      </c>
    </row>
    <row r="138" spans="1:4" x14ac:dyDescent="0.25">
      <c r="A138" s="3" t="s">
        <v>46</v>
      </c>
      <c r="B138" s="3" t="s">
        <v>219</v>
      </c>
      <c r="C138" s="3">
        <v>15</v>
      </c>
      <c r="D138" s="3">
        <v>4</v>
      </c>
    </row>
    <row r="139" spans="1:4" x14ac:dyDescent="0.25">
      <c r="A139" s="3" t="s">
        <v>39</v>
      </c>
      <c r="B139" s="3" t="s">
        <v>220</v>
      </c>
      <c r="C139" s="3">
        <v>11</v>
      </c>
      <c r="D139" s="3">
        <v>4</v>
      </c>
    </row>
    <row r="140" spans="1:4" x14ac:dyDescent="0.25">
      <c r="A140" s="3" t="s">
        <v>81</v>
      </c>
      <c r="B140" s="3" t="s">
        <v>221</v>
      </c>
      <c r="C140" s="3">
        <v>31</v>
      </c>
      <c r="D140" s="3">
        <v>21</v>
      </c>
    </row>
    <row r="141" spans="1:4" x14ac:dyDescent="0.25">
      <c r="A141" s="3" t="s">
        <v>43</v>
      </c>
      <c r="B141" s="3" t="s">
        <v>222</v>
      </c>
      <c r="C141" s="3">
        <v>7</v>
      </c>
      <c r="D141" s="3">
        <v>4</v>
      </c>
    </row>
    <row r="142" spans="1:4" x14ac:dyDescent="0.25">
      <c r="A142" s="3" t="s">
        <v>223</v>
      </c>
      <c r="B142" s="3" t="s">
        <v>224</v>
      </c>
      <c r="C142" s="3">
        <v>2</v>
      </c>
      <c r="D142" s="3">
        <v>5</v>
      </c>
    </row>
    <row r="143" spans="1:4" x14ac:dyDescent="0.25">
      <c r="A143" s="3" t="s">
        <v>153</v>
      </c>
      <c r="B143" s="3" t="s">
        <v>225</v>
      </c>
      <c r="C143" s="3">
        <v>3</v>
      </c>
      <c r="D143" s="3">
        <v>5</v>
      </c>
    </row>
    <row r="144" spans="1:4" x14ac:dyDescent="0.25">
      <c r="A144" s="3" t="s">
        <v>198</v>
      </c>
      <c r="B144" s="3" t="s">
        <v>226</v>
      </c>
      <c r="C144" s="3">
        <v>2</v>
      </c>
      <c r="D144" s="3">
        <v>5</v>
      </c>
    </row>
    <row r="145" spans="1:4" x14ac:dyDescent="0.25">
      <c r="A145" s="3" t="s">
        <v>198</v>
      </c>
      <c r="B145" s="3" t="s">
        <v>227</v>
      </c>
      <c r="C145" s="3">
        <v>2</v>
      </c>
      <c r="D145" s="3">
        <v>5</v>
      </c>
    </row>
    <row r="146" spans="1:4" x14ac:dyDescent="0.25">
      <c r="A146" s="3" t="s">
        <v>228</v>
      </c>
      <c r="B146" s="3" t="s">
        <v>229</v>
      </c>
      <c r="C146" s="3">
        <v>30</v>
      </c>
      <c r="D146" s="3">
        <v>21</v>
      </c>
    </row>
    <row r="147" spans="1:4" x14ac:dyDescent="0.25">
      <c r="A147" s="3" t="s">
        <v>230</v>
      </c>
      <c r="B147" s="3" t="s">
        <v>231</v>
      </c>
      <c r="C147" s="3">
        <v>2</v>
      </c>
      <c r="D147" s="3">
        <v>5</v>
      </c>
    </row>
    <row r="148" spans="1:4" x14ac:dyDescent="0.25">
      <c r="A148" s="3" t="s">
        <v>92</v>
      </c>
      <c r="B148" s="3" t="s">
        <v>232</v>
      </c>
      <c r="C148" s="3">
        <v>6</v>
      </c>
      <c r="D148" s="3">
        <v>4</v>
      </c>
    </row>
    <row r="149" spans="1:4" x14ac:dyDescent="0.25">
      <c r="A149" s="3" t="s">
        <v>233</v>
      </c>
      <c r="B149" s="3" t="s">
        <v>234</v>
      </c>
      <c r="C149" s="3">
        <v>6</v>
      </c>
      <c r="D149" s="3">
        <v>4</v>
      </c>
    </row>
    <row r="150" spans="1:4" x14ac:dyDescent="0.25">
      <c r="A150" s="3" t="s">
        <v>43</v>
      </c>
      <c r="B150" s="3" t="s">
        <v>235</v>
      </c>
      <c r="C150" s="3">
        <v>4</v>
      </c>
      <c r="D150" s="3">
        <v>4</v>
      </c>
    </row>
    <row r="151" spans="1:4" x14ac:dyDescent="0.25">
      <c r="A151" s="3" t="s">
        <v>48</v>
      </c>
      <c r="B151" s="3" t="s">
        <v>236</v>
      </c>
      <c r="C151" s="3">
        <v>5</v>
      </c>
      <c r="D151" s="3">
        <v>4</v>
      </c>
    </row>
    <row r="152" spans="1:4" x14ac:dyDescent="0.25">
      <c r="A152" s="3" t="s">
        <v>39</v>
      </c>
      <c r="B152" s="3" t="s">
        <v>237</v>
      </c>
      <c r="C152" s="3">
        <v>1</v>
      </c>
      <c r="D152" s="3">
        <v>4</v>
      </c>
    </row>
    <row r="153" spans="1:4" x14ac:dyDescent="0.25">
      <c r="A153" s="3" t="s">
        <v>43</v>
      </c>
      <c r="B153" s="3" t="s">
        <v>238</v>
      </c>
      <c r="C153" s="3">
        <v>1</v>
      </c>
      <c r="D153" s="3">
        <v>4</v>
      </c>
    </row>
    <row r="154" spans="1:4" x14ac:dyDescent="0.25">
      <c r="A154" s="3" t="s">
        <v>79</v>
      </c>
      <c r="B154" s="3" t="s">
        <v>239</v>
      </c>
      <c r="C154" s="3">
        <v>1</v>
      </c>
      <c r="D154" s="3">
        <v>4</v>
      </c>
    </row>
    <row r="155" spans="1:4" x14ac:dyDescent="0.25">
      <c r="A155" s="3" t="s">
        <v>71</v>
      </c>
      <c r="B155" s="3" t="s">
        <v>240</v>
      </c>
      <c r="C155" s="3">
        <v>1</v>
      </c>
      <c r="D155" s="3">
        <v>4</v>
      </c>
    </row>
    <row r="156" spans="1:4" x14ac:dyDescent="0.25">
      <c r="A156" s="3" t="s">
        <v>48</v>
      </c>
      <c r="B156" s="3" t="s">
        <v>241</v>
      </c>
      <c r="C156" s="3">
        <v>1</v>
      </c>
      <c r="D156" s="3">
        <v>4</v>
      </c>
    </row>
    <row r="157" spans="1:4" x14ac:dyDescent="0.25">
      <c r="A157" s="3" t="s">
        <v>46</v>
      </c>
      <c r="B157" s="3" t="s">
        <v>242</v>
      </c>
      <c r="C157" s="3">
        <v>3</v>
      </c>
      <c r="D157" s="3">
        <v>4</v>
      </c>
    </row>
    <row r="158" spans="1:4" x14ac:dyDescent="0.25">
      <c r="A158" s="3" t="s">
        <v>103</v>
      </c>
      <c r="B158" s="3" t="s">
        <v>243</v>
      </c>
      <c r="C158" s="3">
        <v>6</v>
      </c>
      <c r="D158" s="3">
        <v>2</v>
      </c>
    </row>
    <row r="159" spans="1:4" x14ac:dyDescent="0.25">
      <c r="A159" s="3" t="s">
        <v>188</v>
      </c>
      <c r="B159" s="3" t="s">
        <v>244</v>
      </c>
      <c r="C159" s="3">
        <v>1</v>
      </c>
      <c r="D159" s="3">
        <v>4</v>
      </c>
    </row>
    <row r="160" spans="1:4" x14ac:dyDescent="0.25">
      <c r="A160" s="3" t="s">
        <v>245</v>
      </c>
      <c r="B160" s="3" t="s">
        <v>246</v>
      </c>
      <c r="C160" s="3">
        <v>1</v>
      </c>
      <c r="D160" s="3">
        <v>4</v>
      </c>
    </row>
    <row r="161" spans="1:4" x14ac:dyDescent="0.25">
      <c r="A161" s="3" t="s">
        <v>247</v>
      </c>
      <c r="B161" s="3" t="s">
        <v>248</v>
      </c>
      <c r="C161" s="3">
        <v>4</v>
      </c>
      <c r="D161" s="3">
        <v>2</v>
      </c>
    </row>
    <row r="162" spans="1:4" x14ac:dyDescent="0.25">
      <c r="A162" s="3" t="s">
        <v>249</v>
      </c>
      <c r="B162" s="3" t="s">
        <v>250</v>
      </c>
      <c r="C162" s="3">
        <v>20</v>
      </c>
      <c r="D162" s="3">
        <v>21</v>
      </c>
    </row>
    <row r="163" spans="1:4" x14ac:dyDescent="0.25">
      <c r="A163" s="3" t="s">
        <v>251</v>
      </c>
      <c r="B163" s="3" t="s">
        <v>252</v>
      </c>
      <c r="C163" s="3">
        <v>5</v>
      </c>
      <c r="D163" s="3">
        <v>5</v>
      </c>
    </row>
    <row r="164" spans="1:4" x14ac:dyDescent="0.25">
      <c r="A164" s="3" t="s">
        <v>253</v>
      </c>
      <c r="B164" s="3" t="s">
        <v>254</v>
      </c>
      <c r="C164" s="3">
        <v>18</v>
      </c>
      <c r="D164" s="3">
        <v>21</v>
      </c>
    </row>
    <row r="165" spans="1:4" x14ac:dyDescent="0.25">
      <c r="A165" s="3" t="s">
        <v>142</v>
      </c>
      <c r="B165" s="3" t="s">
        <v>255</v>
      </c>
      <c r="C165" s="3">
        <v>1</v>
      </c>
      <c r="D165" s="3">
        <v>2</v>
      </c>
    </row>
    <row r="166" spans="1:4" x14ac:dyDescent="0.25">
      <c r="A166" s="3" t="s">
        <v>23</v>
      </c>
      <c r="B166" s="3" t="s">
        <v>256</v>
      </c>
      <c r="C166" s="3">
        <v>4</v>
      </c>
      <c r="D166" s="3">
        <v>5</v>
      </c>
    </row>
    <row r="167" spans="1:4" x14ac:dyDescent="0.25">
      <c r="A167" s="3" t="s">
        <v>245</v>
      </c>
      <c r="B167" s="3" t="s">
        <v>257</v>
      </c>
      <c r="C167" s="3">
        <v>15</v>
      </c>
      <c r="D167" s="3">
        <v>21</v>
      </c>
    </row>
    <row r="168" spans="1:4" x14ac:dyDescent="0.25">
      <c r="A168" s="3" t="s">
        <v>258</v>
      </c>
      <c r="B168" s="3" t="s">
        <v>259</v>
      </c>
      <c r="C168" s="3">
        <v>16</v>
      </c>
      <c r="D168" s="3">
        <v>21</v>
      </c>
    </row>
    <row r="169" spans="1:4" x14ac:dyDescent="0.25">
      <c r="A169" s="3" t="s">
        <v>103</v>
      </c>
      <c r="B169" s="3" t="s">
        <v>260</v>
      </c>
      <c r="C169" s="3">
        <v>16</v>
      </c>
      <c r="D169" s="3">
        <v>21</v>
      </c>
    </row>
    <row r="170" spans="1:4" x14ac:dyDescent="0.25">
      <c r="A170" s="3" t="s">
        <v>41</v>
      </c>
      <c r="B170" s="3" t="s">
        <v>261</v>
      </c>
      <c r="C170" s="3">
        <v>15</v>
      </c>
      <c r="D170" s="3">
        <v>21</v>
      </c>
    </row>
    <row r="171" spans="1:4" x14ac:dyDescent="0.25">
      <c r="A171" s="3" t="s">
        <v>55</v>
      </c>
      <c r="B171" s="3" t="s">
        <v>262</v>
      </c>
      <c r="C171" s="3">
        <v>3</v>
      </c>
      <c r="D171" s="3">
        <v>5</v>
      </c>
    </row>
    <row r="172" spans="1:4" x14ac:dyDescent="0.25">
      <c r="A172" s="3" t="s">
        <v>81</v>
      </c>
      <c r="B172" s="3" t="s">
        <v>263</v>
      </c>
      <c r="C172" s="3">
        <v>15</v>
      </c>
      <c r="D172" s="3">
        <v>21</v>
      </c>
    </row>
    <row r="173" spans="1:4" x14ac:dyDescent="0.25">
      <c r="A173" s="3" t="s">
        <v>264</v>
      </c>
      <c r="B173" s="3" t="s">
        <v>265</v>
      </c>
      <c r="C173" s="3">
        <v>15</v>
      </c>
      <c r="D173" s="3">
        <v>21</v>
      </c>
    </row>
    <row r="174" spans="1:4" x14ac:dyDescent="0.25">
      <c r="A174" s="3" t="s">
        <v>266</v>
      </c>
      <c r="B174" s="3" t="s">
        <v>267</v>
      </c>
      <c r="C174" s="3">
        <v>15</v>
      </c>
      <c r="D174" s="3">
        <v>21</v>
      </c>
    </row>
    <row r="175" spans="1:4" x14ac:dyDescent="0.25">
      <c r="A175" s="3" t="s">
        <v>86</v>
      </c>
      <c r="B175" s="3" t="s">
        <v>268</v>
      </c>
      <c r="C175" s="3">
        <v>2</v>
      </c>
      <c r="D175" s="3">
        <v>5</v>
      </c>
    </row>
    <row r="176" spans="1:4" x14ac:dyDescent="0.25">
      <c r="A176" s="3" t="s">
        <v>269</v>
      </c>
      <c r="B176" s="3" t="s">
        <v>270</v>
      </c>
      <c r="C176" s="3">
        <v>2</v>
      </c>
      <c r="D176" s="3">
        <v>5</v>
      </c>
    </row>
    <row r="177" spans="1:4" x14ac:dyDescent="0.25">
      <c r="A177" s="3" t="s">
        <v>253</v>
      </c>
      <c r="B177" s="3" t="s">
        <v>271</v>
      </c>
      <c r="C177" s="3">
        <v>14</v>
      </c>
      <c r="D177" s="3">
        <v>21</v>
      </c>
    </row>
    <row r="178" spans="1:4" x14ac:dyDescent="0.25">
      <c r="A178" s="3" t="s">
        <v>50</v>
      </c>
      <c r="B178" s="3" t="s">
        <v>272</v>
      </c>
      <c r="C178" s="3">
        <v>14</v>
      </c>
      <c r="D178" s="3">
        <v>21</v>
      </c>
    </row>
    <row r="179" spans="1:4" x14ac:dyDescent="0.25">
      <c r="A179" s="3" t="s">
        <v>273</v>
      </c>
      <c r="B179" s="3" t="s">
        <v>274</v>
      </c>
      <c r="C179" s="3">
        <v>14</v>
      </c>
      <c r="D179" s="3">
        <v>21</v>
      </c>
    </row>
    <row r="180" spans="1:4" x14ac:dyDescent="0.25">
      <c r="A180" s="3" t="s">
        <v>275</v>
      </c>
      <c r="B180" s="3" t="s">
        <v>276</v>
      </c>
      <c r="C180" s="3">
        <v>10</v>
      </c>
      <c r="D180" s="3">
        <v>21</v>
      </c>
    </row>
    <row r="181" spans="1:4" x14ac:dyDescent="0.25">
      <c r="A181" s="3" t="s">
        <v>277</v>
      </c>
      <c r="B181" s="3" t="s">
        <v>278</v>
      </c>
      <c r="C181" s="3">
        <v>11</v>
      </c>
      <c r="D181" s="3">
        <v>21</v>
      </c>
    </row>
    <row r="182" spans="1:4" x14ac:dyDescent="0.25">
      <c r="A182" s="3" t="s">
        <v>25</v>
      </c>
      <c r="B182" s="3" t="s">
        <v>279</v>
      </c>
      <c r="C182" s="3">
        <v>13</v>
      </c>
      <c r="D182" s="3">
        <v>21</v>
      </c>
    </row>
    <row r="183" spans="1:4" x14ac:dyDescent="0.25">
      <c r="A183" s="3" t="s">
        <v>277</v>
      </c>
      <c r="B183" s="3" t="s">
        <v>280</v>
      </c>
      <c r="C183" s="3">
        <v>11</v>
      </c>
      <c r="D183" s="3">
        <v>21</v>
      </c>
    </row>
    <row r="184" spans="1:4" x14ac:dyDescent="0.25">
      <c r="A184" s="3" t="s">
        <v>277</v>
      </c>
      <c r="B184" s="3" t="s">
        <v>281</v>
      </c>
      <c r="C184" s="3">
        <v>10</v>
      </c>
      <c r="D184" s="3">
        <v>21</v>
      </c>
    </row>
    <row r="185" spans="1:4" x14ac:dyDescent="0.25">
      <c r="A185" s="3" t="s">
        <v>142</v>
      </c>
      <c r="B185" s="3" t="s">
        <v>282</v>
      </c>
      <c r="C185" s="3">
        <v>10</v>
      </c>
      <c r="D185" s="3">
        <v>21</v>
      </c>
    </row>
    <row r="186" spans="1:4" x14ac:dyDescent="0.25">
      <c r="A186" s="3" t="s">
        <v>249</v>
      </c>
      <c r="B186" s="3" t="s">
        <v>283</v>
      </c>
      <c r="C186" s="3">
        <v>9</v>
      </c>
      <c r="D186" s="3">
        <v>21</v>
      </c>
    </row>
    <row r="187" spans="1:4" x14ac:dyDescent="0.25">
      <c r="A187" s="3" t="s">
        <v>92</v>
      </c>
      <c r="B187" s="3" t="s">
        <v>284</v>
      </c>
      <c r="C187" s="3">
        <v>10</v>
      </c>
      <c r="D187" s="3">
        <v>21</v>
      </c>
    </row>
    <row r="188" spans="1:4" x14ac:dyDescent="0.25">
      <c r="A188" s="3" t="s">
        <v>285</v>
      </c>
      <c r="B188" s="3" t="s">
        <v>286</v>
      </c>
      <c r="C188" s="3">
        <v>10</v>
      </c>
      <c r="D188" s="3">
        <v>21</v>
      </c>
    </row>
    <row r="189" spans="1:4" x14ac:dyDescent="0.25">
      <c r="A189" s="3" t="s">
        <v>48</v>
      </c>
      <c r="B189" s="3" t="s">
        <v>287</v>
      </c>
      <c r="C189" s="3">
        <v>9</v>
      </c>
      <c r="D189" s="3">
        <v>21</v>
      </c>
    </row>
    <row r="190" spans="1:4" x14ac:dyDescent="0.25">
      <c r="A190" s="3" t="s">
        <v>288</v>
      </c>
      <c r="B190" s="3" t="s">
        <v>289</v>
      </c>
      <c r="C190" s="3">
        <v>9</v>
      </c>
      <c r="D190" s="3">
        <v>21</v>
      </c>
    </row>
    <row r="191" spans="1:4" x14ac:dyDescent="0.25">
      <c r="A191" s="3" t="s">
        <v>170</v>
      </c>
      <c r="B191" s="3" t="s">
        <v>290</v>
      </c>
      <c r="C191" s="3">
        <v>9</v>
      </c>
      <c r="D191" s="3">
        <v>21</v>
      </c>
    </row>
    <row r="192" spans="1:4" x14ac:dyDescent="0.25">
      <c r="A192" s="3" t="s">
        <v>288</v>
      </c>
      <c r="B192" s="3" t="s">
        <v>291</v>
      </c>
      <c r="C192" s="3">
        <v>9</v>
      </c>
      <c r="D192" s="3">
        <v>21</v>
      </c>
    </row>
    <row r="193" spans="1:4" x14ac:dyDescent="0.25">
      <c r="A193" s="3" t="s">
        <v>79</v>
      </c>
      <c r="B193" s="3" t="s">
        <v>292</v>
      </c>
      <c r="C193" s="3">
        <v>9</v>
      </c>
      <c r="D193" s="3">
        <v>21</v>
      </c>
    </row>
    <row r="194" spans="1:4" x14ac:dyDescent="0.25">
      <c r="A194" s="3" t="s">
        <v>293</v>
      </c>
      <c r="B194" s="3" t="s">
        <v>294</v>
      </c>
      <c r="C194" s="3">
        <v>9</v>
      </c>
      <c r="D194" s="3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9"/>
  <sheetViews>
    <sheetView workbookViewId="0"/>
  </sheetViews>
  <sheetFormatPr baseColWidth="10" defaultColWidth="9.140625" defaultRowHeight="15" x14ac:dyDescent="0.25"/>
  <cols>
    <col min="1" max="1" width="38" customWidth="1"/>
    <col min="2" max="2" width="22" customWidth="1"/>
    <col min="3" max="3" width="8" customWidth="1"/>
    <col min="4" max="4" width="16" customWidth="1"/>
  </cols>
  <sheetData>
    <row r="1" spans="1:3" x14ac:dyDescent="0.25">
      <c r="A1" s="7" t="s">
        <v>19</v>
      </c>
      <c r="B1" s="7" t="s">
        <v>20</v>
      </c>
      <c r="C1" s="7" t="s">
        <v>21</v>
      </c>
    </row>
    <row r="2" spans="1:3" x14ac:dyDescent="0.25">
      <c r="A2" s="3" t="s">
        <v>23</v>
      </c>
      <c r="B2" s="3" t="s">
        <v>295</v>
      </c>
      <c r="C2" s="3">
        <v>4</v>
      </c>
    </row>
    <row r="3" spans="1:3" x14ac:dyDescent="0.25">
      <c r="A3" s="3" t="s">
        <v>296</v>
      </c>
      <c r="B3" s="3" t="s">
        <v>297</v>
      </c>
      <c r="C3" s="3">
        <v>4</v>
      </c>
    </row>
    <row r="4" spans="1:3" x14ac:dyDescent="0.25">
      <c r="A4" s="3" t="s">
        <v>50</v>
      </c>
      <c r="B4" s="3" t="s">
        <v>298</v>
      </c>
      <c r="C4" s="3">
        <v>8</v>
      </c>
    </row>
    <row r="5" spans="1:3" x14ac:dyDescent="0.25">
      <c r="A5" s="3" t="s">
        <v>50</v>
      </c>
      <c r="B5" s="3" t="s">
        <v>299</v>
      </c>
      <c r="C5" s="3">
        <v>8</v>
      </c>
    </row>
    <row r="6" spans="1:3" x14ac:dyDescent="0.25">
      <c r="A6" s="3" t="s">
        <v>53</v>
      </c>
      <c r="B6" s="3" t="s">
        <v>300</v>
      </c>
      <c r="C6" s="3">
        <v>6</v>
      </c>
    </row>
    <row r="7" spans="1:3" x14ac:dyDescent="0.25">
      <c r="A7" s="3" t="s">
        <v>81</v>
      </c>
      <c r="B7" s="3" t="s">
        <v>301</v>
      </c>
      <c r="C7" s="3">
        <v>15</v>
      </c>
    </row>
    <row r="8" spans="1:3" x14ac:dyDescent="0.25">
      <c r="A8" s="3" t="s">
        <v>25</v>
      </c>
      <c r="B8" s="3" t="s">
        <v>302</v>
      </c>
      <c r="C8" s="3">
        <v>11</v>
      </c>
    </row>
    <row r="9" spans="1:3" x14ac:dyDescent="0.25">
      <c r="A9" s="3" t="s">
        <v>303</v>
      </c>
      <c r="B9" s="3" t="s">
        <v>304</v>
      </c>
      <c r="C9" s="3">
        <v>7</v>
      </c>
    </row>
    <row r="10" spans="1:3" x14ac:dyDescent="0.25">
      <c r="A10" s="3" t="s">
        <v>76</v>
      </c>
      <c r="B10" s="3" t="s">
        <v>305</v>
      </c>
      <c r="C10" s="3">
        <v>8</v>
      </c>
    </row>
    <row r="11" spans="1:3" x14ac:dyDescent="0.25">
      <c r="A11" s="3" t="s">
        <v>79</v>
      </c>
      <c r="B11" s="3" t="s">
        <v>306</v>
      </c>
      <c r="C11" s="3">
        <v>7</v>
      </c>
    </row>
    <row r="12" spans="1:3" x14ac:dyDescent="0.25">
      <c r="A12" s="3" t="s">
        <v>307</v>
      </c>
      <c r="B12" s="3" t="s">
        <v>308</v>
      </c>
      <c r="C12" s="3">
        <v>5</v>
      </c>
    </row>
    <row r="13" spans="1:3" x14ac:dyDescent="0.25">
      <c r="A13" s="3" t="s">
        <v>309</v>
      </c>
      <c r="B13" s="3" t="s">
        <v>310</v>
      </c>
      <c r="C13" s="3">
        <v>5</v>
      </c>
    </row>
    <row r="14" spans="1:3" x14ac:dyDescent="0.25">
      <c r="A14" s="3" t="s">
        <v>307</v>
      </c>
      <c r="B14" s="3" t="s">
        <v>308</v>
      </c>
      <c r="C14" s="3">
        <v>6</v>
      </c>
    </row>
    <row r="15" spans="1:3" x14ac:dyDescent="0.25">
      <c r="A15" s="3" t="s">
        <v>311</v>
      </c>
      <c r="B15" s="3" t="s">
        <v>312</v>
      </c>
      <c r="C15" s="3">
        <v>6</v>
      </c>
    </row>
    <row r="16" spans="1:3" x14ac:dyDescent="0.25">
      <c r="A16" s="3" t="s">
        <v>106</v>
      </c>
      <c r="B16" s="3" t="s">
        <v>313</v>
      </c>
      <c r="C16" s="3">
        <v>6</v>
      </c>
    </row>
    <row r="17" spans="1:3" x14ac:dyDescent="0.25">
      <c r="A17" s="3" t="s">
        <v>314</v>
      </c>
      <c r="B17" s="3" t="s">
        <v>315</v>
      </c>
      <c r="C17" s="3">
        <v>4</v>
      </c>
    </row>
    <row r="18" spans="1:3" x14ac:dyDescent="0.25">
      <c r="A18" s="3" t="s">
        <v>160</v>
      </c>
      <c r="B18" s="3" t="s">
        <v>316</v>
      </c>
      <c r="C18" s="3">
        <v>6</v>
      </c>
    </row>
    <row r="19" spans="1:3" x14ac:dyDescent="0.25">
      <c r="A19" s="3" t="s">
        <v>142</v>
      </c>
      <c r="B19" s="3" t="s">
        <v>317</v>
      </c>
      <c r="C19" s="3">
        <v>5</v>
      </c>
    </row>
    <row r="20" spans="1:3" x14ac:dyDescent="0.25">
      <c r="A20" s="3" t="s">
        <v>318</v>
      </c>
      <c r="B20" s="3" t="s">
        <v>319</v>
      </c>
      <c r="C20" s="3">
        <v>7</v>
      </c>
    </row>
    <row r="21" spans="1:3" x14ac:dyDescent="0.25">
      <c r="A21" s="3" t="s">
        <v>25</v>
      </c>
      <c r="B21" s="3" t="s">
        <v>320</v>
      </c>
      <c r="C21" s="3">
        <v>4</v>
      </c>
    </row>
    <row r="22" spans="1:3" x14ac:dyDescent="0.25">
      <c r="A22" s="3" t="s">
        <v>79</v>
      </c>
      <c r="B22" s="3" t="s">
        <v>321</v>
      </c>
      <c r="C22" s="3">
        <v>6</v>
      </c>
    </row>
    <row r="23" spans="1:3" x14ac:dyDescent="0.25">
      <c r="A23" s="3" t="s">
        <v>81</v>
      </c>
      <c r="B23" s="3" t="s">
        <v>322</v>
      </c>
      <c r="C23" s="3">
        <v>5</v>
      </c>
    </row>
    <row r="24" spans="1:3" x14ac:dyDescent="0.25">
      <c r="A24" s="3" t="s">
        <v>323</v>
      </c>
      <c r="B24" s="3" t="s">
        <v>324</v>
      </c>
      <c r="C24" s="3">
        <v>11</v>
      </c>
    </row>
    <row r="25" spans="1:3" x14ac:dyDescent="0.25">
      <c r="A25" s="3" t="s">
        <v>309</v>
      </c>
      <c r="B25" s="3" t="s">
        <v>325</v>
      </c>
      <c r="C25" s="3">
        <v>6</v>
      </c>
    </row>
    <row r="26" spans="1:3" x14ac:dyDescent="0.25">
      <c r="A26" s="3" t="s">
        <v>326</v>
      </c>
      <c r="B26" s="3" t="s">
        <v>327</v>
      </c>
      <c r="C26" s="3">
        <v>21</v>
      </c>
    </row>
    <row r="27" spans="1:3" x14ac:dyDescent="0.25">
      <c r="A27" s="3" t="s">
        <v>328</v>
      </c>
      <c r="B27" s="3" t="s">
        <v>329</v>
      </c>
      <c r="C27" s="3">
        <v>18</v>
      </c>
    </row>
    <row r="28" spans="1:3" x14ac:dyDescent="0.25">
      <c r="A28" s="3" t="s">
        <v>328</v>
      </c>
      <c r="B28" s="3" t="s">
        <v>330</v>
      </c>
      <c r="C28" s="3">
        <v>15</v>
      </c>
    </row>
    <row r="29" spans="1:3" x14ac:dyDescent="0.25">
      <c r="A29" s="3" t="s">
        <v>328</v>
      </c>
      <c r="B29" s="3" t="s">
        <v>331</v>
      </c>
      <c r="C29" s="3">
        <v>14</v>
      </c>
    </row>
    <row r="30" spans="1:3" x14ac:dyDescent="0.25">
      <c r="A30" s="3" t="s">
        <v>332</v>
      </c>
      <c r="B30" s="3" t="s">
        <v>333</v>
      </c>
      <c r="C30" s="3">
        <v>10</v>
      </c>
    </row>
    <row r="31" spans="1:3" x14ac:dyDescent="0.25">
      <c r="A31" s="3" t="s">
        <v>71</v>
      </c>
      <c r="B31" s="3" t="s">
        <v>334</v>
      </c>
      <c r="C31" s="3">
        <v>16</v>
      </c>
    </row>
    <row r="32" spans="1:3" x14ac:dyDescent="0.25">
      <c r="A32" s="3" t="s">
        <v>79</v>
      </c>
      <c r="B32" s="3" t="s">
        <v>335</v>
      </c>
      <c r="C32" s="3">
        <v>13</v>
      </c>
    </row>
    <row r="33" spans="1:3" x14ac:dyDescent="0.25">
      <c r="A33" s="3" t="s">
        <v>46</v>
      </c>
      <c r="B33" s="3" t="s">
        <v>336</v>
      </c>
      <c r="C33" s="3">
        <v>7</v>
      </c>
    </row>
    <row r="34" spans="1:3" x14ac:dyDescent="0.25">
      <c r="A34" s="3" t="s">
        <v>83</v>
      </c>
      <c r="B34" s="3" t="s">
        <v>337</v>
      </c>
      <c r="C34" s="3">
        <v>7</v>
      </c>
    </row>
    <row r="35" spans="1:3" x14ac:dyDescent="0.25">
      <c r="A35" s="3" t="s">
        <v>338</v>
      </c>
      <c r="B35" s="3" t="s">
        <v>339</v>
      </c>
      <c r="C35" s="3">
        <v>6</v>
      </c>
    </row>
    <row r="36" spans="1:3" x14ac:dyDescent="0.25">
      <c r="A36" s="3" t="s">
        <v>108</v>
      </c>
      <c r="B36" s="3" t="s">
        <v>340</v>
      </c>
      <c r="C36" s="3">
        <v>8</v>
      </c>
    </row>
    <row r="37" spans="1:3" x14ac:dyDescent="0.25">
      <c r="A37" s="3" t="s">
        <v>341</v>
      </c>
      <c r="B37" s="3" t="s">
        <v>342</v>
      </c>
      <c r="C37" s="3">
        <v>18</v>
      </c>
    </row>
    <row r="38" spans="1:3" x14ac:dyDescent="0.25">
      <c r="A38" s="3" t="s">
        <v>343</v>
      </c>
      <c r="B38" s="3" t="s">
        <v>344</v>
      </c>
      <c r="C38" s="3">
        <v>7</v>
      </c>
    </row>
    <row r="39" spans="1:3" x14ac:dyDescent="0.25">
      <c r="A39" s="3" t="s">
        <v>341</v>
      </c>
      <c r="B39" s="3" t="s">
        <v>345</v>
      </c>
      <c r="C39" s="3">
        <v>10</v>
      </c>
    </row>
    <row r="40" spans="1:3" x14ac:dyDescent="0.25">
      <c r="A40" s="3" t="s">
        <v>41</v>
      </c>
      <c r="B40" s="3" t="s">
        <v>346</v>
      </c>
      <c r="C40" s="3">
        <v>14</v>
      </c>
    </row>
    <row r="41" spans="1:3" x14ac:dyDescent="0.25">
      <c r="A41" s="3" t="s">
        <v>233</v>
      </c>
      <c r="B41" s="3" t="s">
        <v>347</v>
      </c>
      <c r="C41" s="3">
        <v>9</v>
      </c>
    </row>
    <row r="42" spans="1:3" x14ac:dyDescent="0.25">
      <c r="A42" s="3" t="s">
        <v>233</v>
      </c>
      <c r="B42" s="3" t="s">
        <v>348</v>
      </c>
      <c r="C42" s="3">
        <v>9</v>
      </c>
    </row>
    <row r="43" spans="1:3" x14ac:dyDescent="0.25">
      <c r="A43" s="3" t="s">
        <v>27</v>
      </c>
      <c r="B43" s="3" t="s">
        <v>349</v>
      </c>
      <c r="C43" s="3">
        <v>12</v>
      </c>
    </row>
    <row r="44" spans="1:3" x14ac:dyDescent="0.25">
      <c r="A44" s="3" t="s">
        <v>73</v>
      </c>
      <c r="B44" s="3" t="s">
        <v>350</v>
      </c>
      <c r="C44" s="3">
        <v>7</v>
      </c>
    </row>
    <row r="45" spans="1:3" x14ac:dyDescent="0.25">
      <c r="A45" s="3" t="s">
        <v>124</v>
      </c>
      <c r="B45" s="3" t="s">
        <v>351</v>
      </c>
      <c r="C45" s="3">
        <v>11</v>
      </c>
    </row>
    <row r="46" spans="1:3" x14ac:dyDescent="0.25">
      <c r="A46" s="3" t="s">
        <v>59</v>
      </c>
      <c r="B46" s="3" t="s">
        <v>352</v>
      </c>
      <c r="C46" s="3">
        <v>7</v>
      </c>
    </row>
    <row r="47" spans="1:3" x14ac:dyDescent="0.25">
      <c r="A47" s="3" t="s">
        <v>155</v>
      </c>
      <c r="B47" s="3" t="s">
        <v>353</v>
      </c>
      <c r="C47" s="3">
        <v>6</v>
      </c>
    </row>
    <row r="48" spans="1:3" x14ac:dyDescent="0.25">
      <c r="A48" s="3" t="s">
        <v>79</v>
      </c>
      <c r="B48" s="3" t="s">
        <v>354</v>
      </c>
      <c r="C48" s="3">
        <v>5</v>
      </c>
    </row>
    <row r="49" spans="1:3" x14ac:dyDescent="0.25">
      <c r="A49" s="3" t="s">
        <v>355</v>
      </c>
      <c r="B49" s="3" t="s">
        <v>356</v>
      </c>
      <c r="C49" s="3">
        <v>4</v>
      </c>
    </row>
    <row r="50" spans="1:3" x14ac:dyDescent="0.25">
      <c r="A50" s="3" t="s">
        <v>357</v>
      </c>
      <c r="B50" s="3" t="s">
        <v>358</v>
      </c>
      <c r="C50" s="3">
        <v>6</v>
      </c>
    </row>
    <row r="51" spans="1:3" x14ac:dyDescent="0.25">
      <c r="A51" s="3" t="s">
        <v>359</v>
      </c>
      <c r="B51" s="3" t="s">
        <v>360</v>
      </c>
      <c r="C51" s="3">
        <v>3</v>
      </c>
    </row>
    <row r="52" spans="1:3" x14ac:dyDescent="0.25">
      <c r="A52" s="3" t="s">
        <v>92</v>
      </c>
      <c r="B52" s="3" t="s">
        <v>361</v>
      </c>
      <c r="C52" s="3">
        <v>9</v>
      </c>
    </row>
    <row r="53" spans="1:3" x14ac:dyDescent="0.25">
      <c r="A53" s="3" t="s">
        <v>258</v>
      </c>
      <c r="B53" s="3" t="s">
        <v>362</v>
      </c>
      <c r="C53" s="3">
        <v>2</v>
      </c>
    </row>
    <row r="54" spans="1:3" x14ac:dyDescent="0.25">
      <c r="A54" s="3" t="s">
        <v>363</v>
      </c>
      <c r="B54" s="3" t="s">
        <v>364</v>
      </c>
      <c r="C54" s="3">
        <v>2</v>
      </c>
    </row>
    <row r="55" spans="1:3" x14ac:dyDescent="0.25">
      <c r="A55" s="3" t="s">
        <v>106</v>
      </c>
      <c r="B55" s="3" t="s">
        <v>365</v>
      </c>
      <c r="C55" s="3">
        <v>5</v>
      </c>
    </row>
    <row r="56" spans="1:3" x14ac:dyDescent="0.25">
      <c r="A56" s="3" t="s">
        <v>366</v>
      </c>
      <c r="B56" s="3" t="s">
        <v>367</v>
      </c>
      <c r="C56" s="3">
        <v>11</v>
      </c>
    </row>
    <row r="57" spans="1:3" x14ac:dyDescent="0.25">
      <c r="A57" s="3" t="s">
        <v>368</v>
      </c>
      <c r="B57" s="3" t="s">
        <v>369</v>
      </c>
      <c r="C57" s="3">
        <v>7</v>
      </c>
    </row>
    <row r="58" spans="1:3" x14ac:dyDescent="0.25">
      <c r="A58" s="3" t="s">
        <v>23</v>
      </c>
      <c r="B58" s="3" t="s">
        <v>370</v>
      </c>
      <c r="C58" s="3">
        <v>13</v>
      </c>
    </row>
    <row r="59" spans="1:3" x14ac:dyDescent="0.25">
      <c r="A59" s="3" t="s">
        <v>343</v>
      </c>
      <c r="B59" s="3" t="s">
        <v>371</v>
      </c>
      <c r="C59" s="3">
        <v>7</v>
      </c>
    </row>
    <row r="60" spans="1:3" x14ac:dyDescent="0.25">
      <c r="A60" s="3" t="s">
        <v>372</v>
      </c>
      <c r="B60" s="3" t="s">
        <v>373</v>
      </c>
      <c r="C60" s="3">
        <v>9</v>
      </c>
    </row>
    <row r="61" spans="1:3" x14ac:dyDescent="0.25">
      <c r="A61" s="3" t="s">
        <v>374</v>
      </c>
      <c r="B61" s="3" t="s">
        <v>375</v>
      </c>
      <c r="C61" s="3">
        <v>3</v>
      </c>
    </row>
    <row r="62" spans="1:3" x14ac:dyDescent="0.25">
      <c r="A62" s="3" t="s">
        <v>376</v>
      </c>
      <c r="B62" s="3" t="s">
        <v>377</v>
      </c>
      <c r="C62" s="3">
        <v>11</v>
      </c>
    </row>
    <row r="63" spans="1:3" x14ac:dyDescent="0.25">
      <c r="A63" s="3" t="s">
        <v>378</v>
      </c>
      <c r="B63" s="3" t="s">
        <v>379</v>
      </c>
      <c r="C63" s="3">
        <v>8</v>
      </c>
    </row>
    <row r="64" spans="1:3" x14ac:dyDescent="0.25">
      <c r="A64" s="3" t="s">
        <v>288</v>
      </c>
      <c r="B64" s="3" t="s">
        <v>380</v>
      </c>
      <c r="C64" s="3">
        <v>5</v>
      </c>
    </row>
    <row r="65" spans="1:3" x14ac:dyDescent="0.25">
      <c r="A65" s="3" t="s">
        <v>343</v>
      </c>
      <c r="B65" s="3" t="s">
        <v>381</v>
      </c>
      <c r="C65" s="3">
        <v>5</v>
      </c>
    </row>
    <row r="66" spans="1:3" x14ac:dyDescent="0.25">
      <c r="A66" s="3" t="s">
        <v>382</v>
      </c>
      <c r="B66" s="3" t="s">
        <v>383</v>
      </c>
      <c r="C66" s="3">
        <v>21</v>
      </c>
    </row>
    <row r="67" spans="1:3" x14ac:dyDescent="0.25">
      <c r="A67" s="3" t="s">
        <v>384</v>
      </c>
      <c r="B67" s="3" t="s">
        <v>385</v>
      </c>
      <c r="C67" s="3">
        <v>6</v>
      </c>
    </row>
    <row r="68" spans="1:3" x14ac:dyDescent="0.25">
      <c r="A68" s="3" t="s">
        <v>378</v>
      </c>
      <c r="B68" s="3" t="s">
        <v>386</v>
      </c>
      <c r="C68" s="3">
        <v>2</v>
      </c>
    </row>
    <row r="69" spans="1:3" x14ac:dyDescent="0.25">
      <c r="A69" s="3" t="s">
        <v>387</v>
      </c>
      <c r="B69" s="3" t="s">
        <v>388</v>
      </c>
      <c r="C69" s="3">
        <v>28</v>
      </c>
    </row>
    <row r="70" spans="1:3" x14ac:dyDescent="0.25">
      <c r="A70" s="3" t="s">
        <v>389</v>
      </c>
      <c r="B70" s="3" t="s">
        <v>390</v>
      </c>
      <c r="C70" s="3">
        <v>8</v>
      </c>
    </row>
    <row r="71" spans="1:3" x14ac:dyDescent="0.25">
      <c r="A71" s="3" t="s">
        <v>253</v>
      </c>
      <c r="B71" s="3" t="s">
        <v>391</v>
      </c>
      <c r="C71" s="3">
        <v>14</v>
      </c>
    </row>
    <row r="72" spans="1:3" x14ac:dyDescent="0.25">
      <c r="A72" s="3" t="s">
        <v>392</v>
      </c>
      <c r="B72" s="3" t="s">
        <v>393</v>
      </c>
      <c r="C72" s="3">
        <v>9</v>
      </c>
    </row>
    <row r="73" spans="1:3" x14ac:dyDescent="0.25">
      <c r="A73" s="3" t="s">
        <v>33</v>
      </c>
      <c r="B73" s="3" t="s">
        <v>34</v>
      </c>
      <c r="C73" s="3">
        <v>14</v>
      </c>
    </row>
    <row r="74" spans="1:3" x14ac:dyDescent="0.25">
      <c r="A74" s="3" t="s">
        <v>394</v>
      </c>
      <c r="B74" s="3" t="s">
        <v>395</v>
      </c>
      <c r="C74" s="3">
        <v>6</v>
      </c>
    </row>
    <row r="75" spans="1:3" x14ac:dyDescent="0.25">
      <c r="A75" s="3" t="s">
        <v>396</v>
      </c>
      <c r="B75" s="3" t="s">
        <v>397</v>
      </c>
      <c r="C75" s="3">
        <v>11</v>
      </c>
    </row>
    <row r="76" spans="1:3" x14ac:dyDescent="0.25">
      <c r="A76" s="3" t="s">
        <v>398</v>
      </c>
      <c r="B76" s="3" t="s">
        <v>399</v>
      </c>
      <c r="C76" s="3">
        <v>6</v>
      </c>
    </row>
    <row r="77" spans="1:3" x14ac:dyDescent="0.25">
      <c r="A77" s="3" t="s">
        <v>79</v>
      </c>
      <c r="B77" s="3" t="s">
        <v>400</v>
      </c>
      <c r="C77" s="3">
        <v>7</v>
      </c>
    </row>
    <row r="78" spans="1:3" x14ac:dyDescent="0.25">
      <c r="A78" s="3" t="s">
        <v>33</v>
      </c>
      <c r="B78" s="3" t="s">
        <v>401</v>
      </c>
      <c r="C78" s="3">
        <v>6</v>
      </c>
    </row>
    <row r="79" spans="1:3" x14ac:dyDescent="0.25">
      <c r="A79" s="3" t="s">
        <v>372</v>
      </c>
      <c r="B79" s="3" t="s">
        <v>402</v>
      </c>
      <c r="C79" s="3">
        <v>7</v>
      </c>
    </row>
    <row r="80" spans="1:3" x14ac:dyDescent="0.25">
      <c r="A80" s="3" t="s">
        <v>142</v>
      </c>
      <c r="B80" s="3" t="s">
        <v>403</v>
      </c>
      <c r="C80" s="3">
        <v>6</v>
      </c>
    </row>
    <row r="81" spans="1:3" x14ac:dyDescent="0.25">
      <c r="A81" s="3" t="s">
        <v>404</v>
      </c>
      <c r="B81" s="3" t="s">
        <v>44</v>
      </c>
      <c r="C81" s="3">
        <v>3</v>
      </c>
    </row>
    <row r="82" spans="1:3" x14ac:dyDescent="0.25">
      <c r="A82" s="3" t="s">
        <v>343</v>
      </c>
      <c r="B82" s="3" t="s">
        <v>405</v>
      </c>
      <c r="C82" s="3">
        <v>6</v>
      </c>
    </row>
    <row r="83" spans="1:3" x14ac:dyDescent="0.25">
      <c r="A83" s="3" t="s">
        <v>311</v>
      </c>
      <c r="B83" s="3" t="s">
        <v>56</v>
      </c>
      <c r="C83" s="3">
        <v>2</v>
      </c>
    </row>
    <row r="84" spans="1:3" x14ac:dyDescent="0.25">
      <c r="A84" s="3" t="s">
        <v>355</v>
      </c>
      <c r="B84" s="3" t="s">
        <v>65</v>
      </c>
      <c r="C84" s="3">
        <v>4</v>
      </c>
    </row>
    <row r="85" spans="1:3" x14ac:dyDescent="0.25">
      <c r="A85" s="3" t="s">
        <v>59</v>
      </c>
      <c r="B85" s="3" t="s">
        <v>66</v>
      </c>
      <c r="C85" s="3">
        <v>8</v>
      </c>
    </row>
    <row r="86" spans="1:3" x14ac:dyDescent="0.25">
      <c r="A86" s="3" t="s">
        <v>73</v>
      </c>
      <c r="B86" s="3" t="s">
        <v>74</v>
      </c>
      <c r="C86" s="3">
        <v>9</v>
      </c>
    </row>
    <row r="87" spans="1:3" x14ac:dyDescent="0.25">
      <c r="A87" s="3" t="s">
        <v>394</v>
      </c>
      <c r="B87" s="3" t="s">
        <v>90</v>
      </c>
      <c r="C87" s="3">
        <v>4</v>
      </c>
    </row>
    <row r="88" spans="1:3" x14ac:dyDescent="0.25">
      <c r="A88" s="3" t="s">
        <v>406</v>
      </c>
      <c r="B88" s="3" t="s">
        <v>99</v>
      </c>
      <c r="C88" s="3">
        <v>2</v>
      </c>
    </row>
    <row r="89" spans="1:3" x14ac:dyDescent="0.25">
      <c r="A89" s="3" t="s">
        <v>394</v>
      </c>
      <c r="B89" s="3" t="s">
        <v>101</v>
      </c>
      <c r="C89" s="3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3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40" customWidth="1"/>
    <col min="2" max="2" width="9" customWidth="1"/>
    <col min="3" max="4" width="13" customWidth="1"/>
    <col min="5" max="5" width="10" customWidth="1"/>
    <col min="6" max="6" width="12" customWidth="1"/>
    <col min="7" max="7" width="15" customWidth="1"/>
    <col min="8" max="8" width="44" customWidth="1"/>
  </cols>
  <sheetData>
    <row r="1" spans="1:8" ht="18" x14ac:dyDescent="0.25">
      <c r="A1" s="8" t="s">
        <v>407</v>
      </c>
    </row>
    <row r="2" spans="1:8" x14ac:dyDescent="0.25">
      <c r="A2" s="2" t="s">
        <v>408</v>
      </c>
    </row>
    <row r="4" spans="1:8" x14ac:dyDescent="0.25">
      <c r="A4" s="9" t="s">
        <v>19</v>
      </c>
      <c r="B4" s="9" t="s">
        <v>409</v>
      </c>
      <c r="C4" s="9" t="s">
        <v>410</v>
      </c>
      <c r="D4" s="9" t="s">
        <v>411</v>
      </c>
      <c r="E4" s="9" t="s">
        <v>412</v>
      </c>
      <c r="F4" s="9" t="s">
        <v>413</v>
      </c>
      <c r="G4" s="9" t="s">
        <v>414</v>
      </c>
      <c r="H4" s="9" t="s">
        <v>415</v>
      </c>
    </row>
    <row r="5" spans="1:8" x14ac:dyDescent="0.25">
      <c r="A5" s="10" t="s">
        <v>31</v>
      </c>
      <c r="B5" s="11">
        <f>COUNTIFS('Rohdaten AMM'!$A$2:$A$194,$A5)</f>
        <v>1</v>
      </c>
      <c r="C5" s="12">
        <f>IFERROR(AVERAGEIFS('Rohdaten AMM'!$C$2:$C$194,'Rohdaten AMM'!$A$2:$A$194,$A5),"")</f>
        <v>85</v>
      </c>
      <c r="D5" s="11">
        <f t="array" ref="D5">MEDIAN(IF('Rohdaten AMM'!$A$2:$A$194=$A5,'Rohdaten AMM'!$C$2:$C$194))</f>
        <v>85</v>
      </c>
      <c r="E5" s="11">
        <f>_xlfn.MAXIFS('Rohdaten AMM'!$C$2:$C$194,'Rohdaten AMM'!$A$2:$A$194,$A5)</f>
        <v>85</v>
      </c>
      <c r="F5" s="11">
        <f>COUNTIFS('Rohdaten Pipeline'!$A$2:$A$89,$A5)</f>
        <v>0</v>
      </c>
      <c r="G5" s="12" t="str">
        <f>IFERROR(AVERAGEIFS('Rohdaten Pipeline'!$C$2:$C$89,'Rohdaten Pipeline'!$A$2:$A$89,$A5),"")</f>
        <v/>
      </c>
      <c r="H5" s="13" t="str">
        <f t="shared" ref="H5:H36" si="0">IF($E5&gt;=45,"Ausreißer prüfen — Storno oder Vorkasse-Wartezeit?",IF($C5&gt;=20,"überdurchschnittlich langsam",""))</f>
        <v>Ausreißer prüfen — Storno oder Vorkasse-Wartezeit?</v>
      </c>
    </row>
    <row r="6" spans="1:8" x14ac:dyDescent="0.25">
      <c r="A6" s="10" t="s">
        <v>29</v>
      </c>
      <c r="B6" s="11">
        <f>COUNTIFS('Rohdaten AMM'!$A$2:$A$194,$A6)</f>
        <v>1</v>
      </c>
      <c r="C6" s="12">
        <f>IFERROR(AVERAGEIFS('Rohdaten AMM'!$C$2:$C$194,'Rohdaten AMM'!$A$2:$A$194,$A6),"")</f>
        <v>37</v>
      </c>
      <c r="D6" s="11">
        <f t="array" ref="D6">MEDIAN(IF('Rohdaten AMM'!$A$2:$A$194=$A6,'Rohdaten AMM'!$C$2:$C$194))</f>
        <v>37</v>
      </c>
      <c r="E6" s="11">
        <f>_xlfn.MAXIFS('Rohdaten AMM'!$C$2:$C$194,'Rohdaten AMM'!$A$2:$A$194,$A6)</f>
        <v>37</v>
      </c>
      <c r="F6" s="11">
        <f>COUNTIFS('Rohdaten Pipeline'!$A$2:$A$89,$A6)</f>
        <v>0</v>
      </c>
      <c r="G6" s="12" t="str">
        <f>IFERROR(AVERAGEIFS('Rohdaten Pipeline'!$C$2:$C$89,'Rohdaten Pipeline'!$A$2:$A$89,$A6),"")</f>
        <v/>
      </c>
      <c r="H6" s="13" t="str">
        <f t="shared" si="0"/>
        <v>überdurchschnittlich langsam</v>
      </c>
    </row>
    <row r="7" spans="1:8" x14ac:dyDescent="0.25">
      <c r="A7" s="10" t="s">
        <v>212</v>
      </c>
      <c r="B7" s="11">
        <f>COUNTIFS('Rohdaten AMM'!$A$2:$A$194,$A7)</f>
        <v>1</v>
      </c>
      <c r="C7" s="12">
        <f>IFERROR(AVERAGEIFS('Rohdaten AMM'!$C$2:$C$194,'Rohdaten AMM'!$A$2:$A$194,$A7),"")</f>
        <v>37</v>
      </c>
      <c r="D7" s="11">
        <f t="array" ref="D7">MEDIAN(IF('Rohdaten AMM'!$A$2:$A$194=$A7,'Rohdaten AMM'!$C$2:$C$194))</f>
        <v>37</v>
      </c>
      <c r="E7" s="11">
        <f>_xlfn.MAXIFS('Rohdaten AMM'!$C$2:$C$194,'Rohdaten AMM'!$A$2:$A$194,$A7)</f>
        <v>37</v>
      </c>
      <c r="F7" s="11">
        <f>COUNTIFS('Rohdaten Pipeline'!$A$2:$A$89,$A7)</f>
        <v>0</v>
      </c>
      <c r="G7" s="12" t="str">
        <f>IFERROR(AVERAGEIFS('Rohdaten Pipeline'!$C$2:$C$89,'Rohdaten Pipeline'!$A$2:$A$89,$A7),"")</f>
        <v/>
      </c>
      <c r="H7" s="13" t="str">
        <f t="shared" si="0"/>
        <v>überdurchschnittlich langsam</v>
      </c>
    </row>
    <row r="8" spans="1:8" x14ac:dyDescent="0.25">
      <c r="A8" s="10" t="s">
        <v>33</v>
      </c>
      <c r="B8" s="11">
        <f>COUNTIFS('Rohdaten AMM'!$A$2:$A$194,$A8)</f>
        <v>3</v>
      </c>
      <c r="C8" s="12">
        <f>IFERROR(AVERAGEIFS('Rohdaten AMM'!$C$2:$C$194,'Rohdaten AMM'!$A$2:$A$194,$A8),"")</f>
        <v>34.666666666666664</v>
      </c>
      <c r="D8" s="11">
        <f t="array" ref="D8">MEDIAN(IF('Rohdaten AMM'!$A$2:$A$194=$A8,'Rohdaten AMM'!$C$2:$C$194))</f>
        <v>8</v>
      </c>
      <c r="E8" s="11">
        <f>_xlfn.MAXIFS('Rohdaten AMM'!$C$2:$C$194,'Rohdaten AMM'!$A$2:$A$194,$A8)</f>
        <v>88</v>
      </c>
      <c r="F8" s="11">
        <f>COUNTIFS('Rohdaten Pipeline'!$A$2:$A$89,$A8)</f>
        <v>2</v>
      </c>
      <c r="G8" s="12">
        <f>IFERROR(AVERAGEIFS('Rohdaten Pipeline'!$C$2:$C$89,'Rohdaten Pipeline'!$A$2:$A$89,$A8),"")</f>
        <v>10</v>
      </c>
      <c r="H8" s="13" t="str">
        <f t="shared" si="0"/>
        <v>Ausreißer prüfen — Storno oder Vorkasse-Wartezeit?</v>
      </c>
    </row>
    <row r="9" spans="1:8" x14ac:dyDescent="0.25">
      <c r="A9" s="10" t="s">
        <v>27</v>
      </c>
      <c r="B9" s="11">
        <f>COUNTIFS('Rohdaten AMM'!$A$2:$A$194,$A9)</f>
        <v>2</v>
      </c>
      <c r="C9" s="12">
        <f>IFERROR(AVERAGEIFS('Rohdaten AMM'!$C$2:$C$194,'Rohdaten AMM'!$A$2:$A$194,$A9),"")</f>
        <v>34</v>
      </c>
      <c r="D9" s="11">
        <f t="array" ref="D9">MEDIAN(IF('Rohdaten AMM'!$A$2:$A$194=$A9,'Rohdaten AMM'!$C$2:$C$194))</f>
        <v>34</v>
      </c>
      <c r="E9" s="11">
        <f>_xlfn.MAXIFS('Rohdaten AMM'!$C$2:$C$194,'Rohdaten AMM'!$A$2:$A$194,$A9)</f>
        <v>66</v>
      </c>
      <c r="F9" s="11">
        <f>COUNTIFS('Rohdaten Pipeline'!$A$2:$A$89,$A9)</f>
        <v>1</v>
      </c>
      <c r="G9" s="12">
        <f>IFERROR(AVERAGEIFS('Rohdaten Pipeline'!$C$2:$C$89,'Rohdaten Pipeline'!$A$2:$A$89,$A9),"")</f>
        <v>12</v>
      </c>
      <c r="H9" s="13" t="str">
        <f t="shared" si="0"/>
        <v>Ausreißer prüfen — Storno oder Vorkasse-Wartezeit?</v>
      </c>
    </row>
    <row r="10" spans="1:8" x14ac:dyDescent="0.25">
      <c r="A10" s="10" t="s">
        <v>228</v>
      </c>
      <c r="B10" s="11">
        <f>COUNTIFS('Rohdaten AMM'!$A$2:$A$194,$A10)</f>
        <v>1</v>
      </c>
      <c r="C10" s="12">
        <f>IFERROR(AVERAGEIFS('Rohdaten AMM'!$C$2:$C$194,'Rohdaten AMM'!$A$2:$A$194,$A10),"")</f>
        <v>30</v>
      </c>
      <c r="D10" s="11">
        <f t="array" ref="D10">MEDIAN(IF('Rohdaten AMM'!$A$2:$A$194=$A10,'Rohdaten AMM'!$C$2:$C$194))</f>
        <v>30</v>
      </c>
      <c r="E10" s="11">
        <f>_xlfn.MAXIFS('Rohdaten AMM'!$C$2:$C$194,'Rohdaten AMM'!$A$2:$A$194,$A10)</f>
        <v>30</v>
      </c>
      <c r="F10" s="11">
        <f>COUNTIFS('Rohdaten Pipeline'!$A$2:$A$89,$A10)</f>
        <v>0</v>
      </c>
      <c r="G10" s="12" t="str">
        <f>IFERROR(AVERAGEIFS('Rohdaten Pipeline'!$C$2:$C$89,'Rohdaten Pipeline'!$A$2:$A$89,$A10),"")</f>
        <v/>
      </c>
      <c r="H10" s="13" t="str">
        <f t="shared" si="0"/>
        <v>überdurchschnittlich langsam</v>
      </c>
    </row>
    <row r="11" spans="1:8" x14ac:dyDescent="0.25">
      <c r="A11" s="10" t="s">
        <v>37</v>
      </c>
      <c r="B11" s="11">
        <f>COUNTIFS('Rohdaten AMM'!$A$2:$A$194,$A11)</f>
        <v>2</v>
      </c>
      <c r="C11" s="12">
        <f>IFERROR(AVERAGEIFS('Rohdaten AMM'!$C$2:$C$194,'Rohdaten AMM'!$A$2:$A$194,$A11),"")</f>
        <v>29.5</v>
      </c>
      <c r="D11" s="11">
        <f t="array" ref="D11">MEDIAN(IF('Rohdaten AMM'!$A$2:$A$194=$A11,'Rohdaten AMM'!$C$2:$C$194))</f>
        <v>29.5</v>
      </c>
      <c r="E11" s="11">
        <f>_xlfn.MAXIFS('Rohdaten AMM'!$C$2:$C$194,'Rohdaten AMM'!$A$2:$A$194,$A11)</f>
        <v>45</v>
      </c>
      <c r="F11" s="11">
        <f>COUNTIFS('Rohdaten Pipeline'!$A$2:$A$89,$A11)</f>
        <v>0</v>
      </c>
      <c r="G11" s="12" t="str">
        <f>IFERROR(AVERAGEIFS('Rohdaten Pipeline'!$C$2:$C$89,'Rohdaten Pipeline'!$A$2:$A$89,$A11),"")</f>
        <v/>
      </c>
      <c r="H11" s="13" t="str">
        <f t="shared" si="0"/>
        <v>Ausreißer prüfen — Storno oder Vorkasse-Wartezeit?</v>
      </c>
    </row>
    <row r="12" spans="1:8" x14ac:dyDescent="0.25">
      <c r="A12" s="10" t="s">
        <v>25</v>
      </c>
      <c r="B12" s="11">
        <f>COUNTIFS('Rohdaten AMM'!$A$2:$A$194,$A12)</f>
        <v>4</v>
      </c>
      <c r="C12" s="12">
        <f>IFERROR(AVERAGEIFS('Rohdaten AMM'!$C$2:$C$194,'Rohdaten AMM'!$A$2:$A$194,$A12),"")</f>
        <v>26</v>
      </c>
      <c r="D12" s="11">
        <f t="array" ref="D12">MEDIAN(IF('Rohdaten AMM'!$A$2:$A$194=$A12,'Rohdaten AMM'!$C$2:$C$194))</f>
        <v>26</v>
      </c>
      <c r="E12" s="11">
        <f>_xlfn.MAXIFS('Rohdaten AMM'!$C$2:$C$194,'Rohdaten AMM'!$A$2:$A$194,$A12)</f>
        <v>48</v>
      </c>
      <c r="F12" s="11">
        <f>COUNTIFS('Rohdaten Pipeline'!$A$2:$A$89,$A12)</f>
        <v>2</v>
      </c>
      <c r="G12" s="12">
        <f>IFERROR(AVERAGEIFS('Rohdaten Pipeline'!$C$2:$C$89,'Rohdaten Pipeline'!$A$2:$A$89,$A12),"")</f>
        <v>7.5</v>
      </c>
      <c r="H12" s="13" t="str">
        <f t="shared" si="0"/>
        <v>Ausreißer prüfen — Storno oder Vorkasse-Wartezeit?</v>
      </c>
    </row>
    <row r="13" spans="1:8" x14ac:dyDescent="0.25">
      <c r="A13" s="10" t="s">
        <v>108</v>
      </c>
      <c r="B13" s="11">
        <f>COUNTIFS('Rohdaten AMM'!$A$2:$A$194,$A13)</f>
        <v>2</v>
      </c>
      <c r="C13" s="12">
        <f>IFERROR(AVERAGEIFS('Rohdaten AMM'!$C$2:$C$194,'Rohdaten AMM'!$A$2:$A$194,$A13),"")</f>
        <v>25</v>
      </c>
      <c r="D13" s="11">
        <f t="array" ref="D13">MEDIAN(IF('Rohdaten AMM'!$A$2:$A$194=$A13,'Rohdaten AMM'!$C$2:$C$194))</f>
        <v>25</v>
      </c>
      <c r="E13" s="11">
        <f>_xlfn.MAXIFS('Rohdaten AMM'!$C$2:$C$194,'Rohdaten AMM'!$A$2:$A$194,$A13)</f>
        <v>36</v>
      </c>
      <c r="F13" s="11">
        <f>COUNTIFS('Rohdaten Pipeline'!$A$2:$A$89,$A13)</f>
        <v>1</v>
      </c>
      <c r="G13" s="12">
        <f>IFERROR(AVERAGEIFS('Rohdaten Pipeline'!$C$2:$C$89,'Rohdaten Pipeline'!$A$2:$A$89,$A13),"")</f>
        <v>8</v>
      </c>
      <c r="H13" s="13" t="str">
        <f t="shared" si="0"/>
        <v>überdurchschnittlich langsam</v>
      </c>
    </row>
    <row r="14" spans="1:8" x14ac:dyDescent="0.25">
      <c r="A14" s="10" t="s">
        <v>39</v>
      </c>
      <c r="B14" s="11">
        <f>COUNTIFS('Rohdaten AMM'!$A$2:$A$194,$A14)</f>
        <v>7</v>
      </c>
      <c r="C14" s="12">
        <f>IFERROR(AVERAGEIFS('Rohdaten AMM'!$C$2:$C$194,'Rohdaten AMM'!$A$2:$A$194,$A14),"")</f>
        <v>23.571428571428573</v>
      </c>
      <c r="D14" s="11">
        <f t="array" ref="D14">MEDIAN(IF('Rohdaten AMM'!$A$2:$A$194=$A14,'Rohdaten AMM'!$C$2:$C$194))</f>
        <v>12</v>
      </c>
      <c r="E14" s="11">
        <f>_xlfn.MAXIFS('Rohdaten AMM'!$C$2:$C$194,'Rohdaten AMM'!$A$2:$A$194,$A14)</f>
        <v>101</v>
      </c>
      <c r="F14" s="11">
        <f>COUNTIFS('Rohdaten Pipeline'!$A$2:$A$89,$A14)</f>
        <v>0</v>
      </c>
      <c r="G14" s="12" t="str">
        <f>IFERROR(AVERAGEIFS('Rohdaten Pipeline'!$C$2:$C$89,'Rohdaten Pipeline'!$A$2:$A$89,$A14),"")</f>
        <v/>
      </c>
      <c r="H14" s="13" t="str">
        <f t="shared" si="0"/>
        <v>Ausreißer prüfen — Storno oder Vorkasse-Wartezeit?</v>
      </c>
    </row>
    <row r="15" spans="1:8" x14ac:dyDescent="0.25">
      <c r="A15" s="10" t="s">
        <v>96</v>
      </c>
      <c r="B15" s="11">
        <f>COUNTIFS('Rohdaten AMM'!$A$2:$A$194,$A15)</f>
        <v>2</v>
      </c>
      <c r="C15" s="12">
        <f>IFERROR(AVERAGEIFS('Rohdaten AMM'!$C$2:$C$194,'Rohdaten AMM'!$A$2:$A$194,$A15),"")</f>
        <v>22</v>
      </c>
      <c r="D15" s="11">
        <f t="array" ref="D15">MEDIAN(IF('Rohdaten AMM'!$A$2:$A$194=$A15,'Rohdaten AMM'!$C$2:$C$194))</f>
        <v>22</v>
      </c>
      <c r="E15" s="11">
        <f>_xlfn.MAXIFS('Rohdaten AMM'!$C$2:$C$194,'Rohdaten AMM'!$A$2:$A$194,$A15)</f>
        <v>27</v>
      </c>
      <c r="F15" s="11">
        <f>COUNTIFS('Rohdaten Pipeline'!$A$2:$A$89,$A15)</f>
        <v>0</v>
      </c>
      <c r="G15" s="12" t="str">
        <f>IFERROR(AVERAGEIFS('Rohdaten Pipeline'!$C$2:$C$89,'Rohdaten Pipeline'!$A$2:$A$89,$A15),"")</f>
        <v/>
      </c>
      <c r="H15" s="13" t="str">
        <f t="shared" si="0"/>
        <v>überdurchschnittlich langsam</v>
      </c>
    </row>
    <row r="16" spans="1:8" x14ac:dyDescent="0.25">
      <c r="A16" s="10" t="s">
        <v>81</v>
      </c>
      <c r="B16" s="11">
        <f>COUNTIFS('Rohdaten AMM'!$A$2:$A$194,$A16)</f>
        <v>6</v>
      </c>
      <c r="C16" s="12">
        <f>IFERROR(AVERAGEIFS('Rohdaten AMM'!$C$2:$C$194,'Rohdaten AMM'!$A$2:$A$194,$A16),"")</f>
        <v>20.666666666666668</v>
      </c>
      <c r="D16" s="11">
        <f t="array" ref="D16">MEDIAN(IF('Rohdaten AMM'!$A$2:$A$194=$A16,'Rohdaten AMM'!$C$2:$C$194))</f>
        <v>20.5</v>
      </c>
      <c r="E16" s="11">
        <f>_xlfn.MAXIFS('Rohdaten AMM'!$C$2:$C$194,'Rohdaten AMM'!$A$2:$A$194,$A16)</f>
        <v>31</v>
      </c>
      <c r="F16" s="11">
        <f>COUNTIFS('Rohdaten Pipeline'!$A$2:$A$89,$A16)</f>
        <v>2</v>
      </c>
      <c r="G16" s="12">
        <f>IFERROR(AVERAGEIFS('Rohdaten Pipeline'!$C$2:$C$89,'Rohdaten Pipeline'!$A$2:$A$89,$A16),"")</f>
        <v>10</v>
      </c>
      <c r="H16" s="13" t="str">
        <f t="shared" si="0"/>
        <v>überdurchschnittlich langsam</v>
      </c>
    </row>
    <row r="17" spans="1:8" x14ac:dyDescent="0.25">
      <c r="A17" s="10" t="s">
        <v>43</v>
      </c>
      <c r="B17" s="11">
        <f>COUNTIFS('Rohdaten AMM'!$A$2:$A$194,$A17)</f>
        <v>7</v>
      </c>
      <c r="C17" s="12">
        <f>IFERROR(AVERAGEIFS('Rohdaten AMM'!$C$2:$C$194,'Rohdaten AMM'!$A$2:$A$194,$A17),"")</f>
        <v>20</v>
      </c>
      <c r="D17" s="11">
        <f t="array" ref="D17">MEDIAN(IF('Rohdaten AMM'!$A$2:$A$194=$A17,'Rohdaten AMM'!$C$2:$C$194))</f>
        <v>7</v>
      </c>
      <c r="E17" s="11">
        <f>_xlfn.MAXIFS('Rohdaten AMM'!$C$2:$C$194,'Rohdaten AMM'!$A$2:$A$194,$A17)</f>
        <v>81</v>
      </c>
      <c r="F17" s="11">
        <f>COUNTIFS('Rohdaten Pipeline'!$A$2:$A$89,$A17)</f>
        <v>0</v>
      </c>
      <c r="G17" s="12" t="str">
        <f>IFERROR(AVERAGEIFS('Rohdaten Pipeline'!$C$2:$C$89,'Rohdaten Pipeline'!$A$2:$A$89,$A17),"")</f>
        <v/>
      </c>
      <c r="H17" s="13" t="str">
        <f t="shared" si="0"/>
        <v>Ausreißer prüfen — Storno oder Vorkasse-Wartezeit?</v>
      </c>
    </row>
    <row r="18" spans="1:8" x14ac:dyDescent="0.25">
      <c r="A18" s="10" t="s">
        <v>46</v>
      </c>
      <c r="B18" s="11">
        <f>COUNTIFS('Rohdaten AMM'!$A$2:$A$194,$A18)</f>
        <v>4</v>
      </c>
      <c r="C18" s="12">
        <f>IFERROR(AVERAGEIFS('Rohdaten AMM'!$C$2:$C$194,'Rohdaten AMM'!$A$2:$A$194,$A18),"")</f>
        <v>18</v>
      </c>
      <c r="D18" s="11">
        <f t="array" ref="D18">MEDIAN(IF('Rohdaten AMM'!$A$2:$A$194=$A18,'Rohdaten AMM'!$C$2:$C$194))</f>
        <v>12</v>
      </c>
      <c r="E18" s="11">
        <f>_xlfn.MAXIFS('Rohdaten AMM'!$C$2:$C$194,'Rohdaten AMM'!$A$2:$A$194,$A18)</f>
        <v>45</v>
      </c>
      <c r="F18" s="11">
        <f>COUNTIFS('Rohdaten Pipeline'!$A$2:$A$89,$A18)</f>
        <v>1</v>
      </c>
      <c r="G18" s="12">
        <f>IFERROR(AVERAGEIFS('Rohdaten Pipeline'!$C$2:$C$89,'Rohdaten Pipeline'!$A$2:$A$89,$A18),"")</f>
        <v>7</v>
      </c>
      <c r="H18" s="13" t="str">
        <f t="shared" si="0"/>
        <v>Ausreißer prüfen — Storno oder Vorkasse-Wartezeit?</v>
      </c>
    </row>
    <row r="19" spans="1:8" x14ac:dyDescent="0.25">
      <c r="A19" s="10" t="s">
        <v>88</v>
      </c>
      <c r="B19" s="11">
        <f>COUNTIFS('Rohdaten AMM'!$A$2:$A$194,$A19)</f>
        <v>1</v>
      </c>
      <c r="C19" s="12">
        <f>IFERROR(AVERAGEIFS('Rohdaten AMM'!$C$2:$C$194,'Rohdaten AMM'!$A$2:$A$194,$A19),"")</f>
        <v>18</v>
      </c>
      <c r="D19" s="11">
        <f t="array" ref="D19">MEDIAN(IF('Rohdaten AMM'!$A$2:$A$194=$A19,'Rohdaten AMM'!$C$2:$C$194))</f>
        <v>18</v>
      </c>
      <c r="E19" s="11">
        <f>_xlfn.MAXIFS('Rohdaten AMM'!$C$2:$C$194,'Rohdaten AMM'!$A$2:$A$194,$A19)</f>
        <v>18</v>
      </c>
      <c r="F19" s="11">
        <f>COUNTIFS('Rohdaten Pipeline'!$A$2:$A$89,$A19)</f>
        <v>0</v>
      </c>
      <c r="G19" s="12" t="str">
        <f>IFERROR(AVERAGEIFS('Rohdaten Pipeline'!$C$2:$C$89,'Rohdaten Pipeline'!$A$2:$A$89,$A19),"")</f>
        <v/>
      </c>
      <c r="H19" s="13" t="str">
        <f t="shared" si="0"/>
        <v/>
      </c>
    </row>
    <row r="20" spans="1:8" x14ac:dyDescent="0.25">
      <c r="A20" s="10" t="s">
        <v>67</v>
      </c>
      <c r="B20" s="11">
        <f>COUNTIFS('Rohdaten AMM'!$A$2:$A$194,$A20)</f>
        <v>4</v>
      </c>
      <c r="C20" s="12">
        <f>IFERROR(AVERAGEIFS('Rohdaten AMM'!$C$2:$C$194,'Rohdaten AMM'!$A$2:$A$194,$A20),"")</f>
        <v>16.5</v>
      </c>
      <c r="D20" s="11">
        <f t="array" ref="D20">MEDIAN(IF('Rohdaten AMM'!$A$2:$A$194=$A20,'Rohdaten AMM'!$C$2:$C$194))</f>
        <v>15</v>
      </c>
      <c r="E20" s="11">
        <f>_xlfn.MAXIFS('Rohdaten AMM'!$C$2:$C$194,'Rohdaten AMM'!$A$2:$A$194,$A20)</f>
        <v>26</v>
      </c>
      <c r="F20" s="11">
        <f>COUNTIFS('Rohdaten Pipeline'!$A$2:$A$89,$A20)</f>
        <v>0</v>
      </c>
      <c r="G20" s="12" t="str">
        <f>IFERROR(AVERAGEIFS('Rohdaten Pipeline'!$C$2:$C$89,'Rohdaten Pipeline'!$A$2:$A$89,$A20),"")</f>
        <v/>
      </c>
      <c r="H20" s="13" t="str">
        <f t="shared" si="0"/>
        <v/>
      </c>
    </row>
    <row r="21" spans="1:8" x14ac:dyDescent="0.25">
      <c r="A21" s="10" t="s">
        <v>112</v>
      </c>
      <c r="B21" s="11">
        <f>COUNTIFS('Rohdaten AMM'!$A$2:$A$194,$A21)</f>
        <v>2</v>
      </c>
      <c r="C21" s="12">
        <f>IFERROR(AVERAGEIFS('Rohdaten AMM'!$C$2:$C$194,'Rohdaten AMM'!$A$2:$A$194,$A21),"")</f>
        <v>16</v>
      </c>
      <c r="D21" s="11">
        <f t="array" ref="D21">MEDIAN(IF('Rohdaten AMM'!$A$2:$A$194=$A21,'Rohdaten AMM'!$C$2:$C$194))</f>
        <v>16</v>
      </c>
      <c r="E21" s="11">
        <f>_xlfn.MAXIFS('Rohdaten AMM'!$C$2:$C$194,'Rohdaten AMM'!$A$2:$A$194,$A21)</f>
        <v>19</v>
      </c>
      <c r="F21" s="11">
        <f>COUNTIFS('Rohdaten Pipeline'!$A$2:$A$89,$A21)</f>
        <v>0</v>
      </c>
      <c r="G21" s="12" t="str">
        <f>IFERROR(AVERAGEIFS('Rohdaten Pipeline'!$C$2:$C$89,'Rohdaten Pipeline'!$A$2:$A$89,$A21),"")</f>
        <v/>
      </c>
      <c r="H21" s="13" t="str">
        <f t="shared" si="0"/>
        <v/>
      </c>
    </row>
    <row r="22" spans="1:8" x14ac:dyDescent="0.25">
      <c r="A22" s="10" t="s">
        <v>253</v>
      </c>
      <c r="B22" s="11">
        <f>COUNTIFS('Rohdaten AMM'!$A$2:$A$194,$A22)</f>
        <v>2</v>
      </c>
      <c r="C22" s="12">
        <f>IFERROR(AVERAGEIFS('Rohdaten AMM'!$C$2:$C$194,'Rohdaten AMM'!$A$2:$A$194,$A22),"")</f>
        <v>16</v>
      </c>
      <c r="D22" s="11">
        <f t="array" ref="D22">MEDIAN(IF('Rohdaten AMM'!$A$2:$A$194=$A22,'Rohdaten AMM'!$C$2:$C$194))</f>
        <v>16</v>
      </c>
      <c r="E22" s="11">
        <f>_xlfn.MAXIFS('Rohdaten AMM'!$C$2:$C$194,'Rohdaten AMM'!$A$2:$A$194,$A22)</f>
        <v>18</v>
      </c>
      <c r="F22" s="11">
        <f>COUNTIFS('Rohdaten Pipeline'!$A$2:$A$89,$A22)</f>
        <v>1</v>
      </c>
      <c r="G22" s="12">
        <f>IFERROR(AVERAGEIFS('Rohdaten Pipeline'!$C$2:$C$89,'Rohdaten Pipeline'!$A$2:$A$89,$A22),"")</f>
        <v>14</v>
      </c>
      <c r="H22" s="13" t="str">
        <f t="shared" si="0"/>
        <v/>
      </c>
    </row>
    <row r="23" spans="1:8" x14ac:dyDescent="0.25">
      <c r="A23" s="10" t="s">
        <v>258</v>
      </c>
      <c r="B23" s="11">
        <f>COUNTIFS('Rohdaten AMM'!$A$2:$A$194,$A23)</f>
        <v>1</v>
      </c>
      <c r="C23" s="12">
        <f>IFERROR(AVERAGEIFS('Rohdaten AMM'!$C$2:$C$194,'Rohdaten AMM'!$A$2:$A$194,$A23),"")</f>
        <v>16</v>
      </c>
      <c r="D23" s="11">
        <f t="array" ref="D23">MEDIAN(IF('Rohdaten AMM'!$A$2:$A$194=$A23,'Rohdaten AMM'!$C$2:$C$194))</f>
        <v>16</v>
      </c>
      <c r="E23" s="11">
        <f>_xlfn.MAXIFS('Rohdaten AMM'!$C$2:$C$194,'Rohdaten AMM'!$A$2:$A$194,$A23)</f>
        <v>16</v>
      </c>
      <c r="F23" s="11">
        <f>COUNTIFS('Rohdaten Pipeline'!$A$2:$A$89,$A23)</f>
        <v>1</v>
      </c>
      <c r="G23" s="12">
        <f>IFERROR(AVERAGEIFS('Rohdaten Pipeline'!$C$2:$C$89,'Rohdaten Pipeline'!$A$2:$A$89,$A23),"")</f>
        <v>2</v>
      </c>
      <c r="H23" s="13" t="str">
        <f t="shared" si="0"/>
        <v/>
      </c>
    </row>
    <row r="24" spans="1:8" x14ac:dyDescent="0.25">
      <c r="A24" s="10" t="s">
        <v>127</v>
      </c>
      <c r="B24" s="11">
        <f>COUNTIFS('Rohdaten AMM'!$A$2:$A$194,$A24)</f>
        <v>2</v>
      </c>
      <c r="C24" s="12">
        <f>IFERROR(AVERAGEIFS('Rohdaten AMM'!$C$2:$C$194,'Rohdaten AMM'!$A$2:$A$194,$A24),"")</f>
        <v>15.5</v>
      </c>
      <c r="D24" s="11">
        <f t="array" ref="D24">MEDIAN(IF('Rohdaten AMM'!$A$2:$A$194=$A24,'Rohdaten AMM'!$C$2:$C$194))</f>
        <v>15.5</v>
      </c>
      <c r="E24" s="11">
        <f>_xlfn.MAXIFS('Rohdaten AMM'!$C$2:$C$194,'Rohdaten AMM'!$A$2:$A$194,$A24)</f>
        <v>18</v>
      </c>
      <c r="F24" s="11">
        <f>COUNTIFS('Rohdaten Pipeline'!$A$2:$A$89,$A24)</f>
        <v>0</v>
      </c>
      <c r="G24" s="12" t="str">
        <f>IFERROR(AVERAGEIFS('Rohdaten Pipeline'!$C$2:$C$89,'Rohdaten Pipeline'!$A$2:$A$89,$A24),"")</f>
        <v/>
      </c>
      <c r="H24" s="13" t="str">
        <f t="shared" si="0"/>
        <v/>
      </c>
    </row>
    <row r="25" spans="1:8" x14ac:dyDescent="0.25">
      <c r="A25" s="10" t="s">
        <v>35</v>
      </c>
      <c r="B25" s="11">
        <f>COUNTIFS('Rohdaten AMM'!$A$2:$A$194,$A25)</f>
        <v>4</v>
      </c>
      <c r="C25" s="12">
        <f>IFERROR(AVERAGEIFS('Rohdaten AMM'!$C$2:$C$194,'Rohdaten AMM'!$A$2:$A$194,$A25),"")</f>
        <v>15</v>
      </c>
      <c r="D25" s="11">
        <f t="array" ref="D25">MEDIAN(IF('Rohdaten AMM'!$A$2:$A$194=$A25,'Rohdaten AMM'!$C$2:$C$194))</f>
        <v>15</v>
      </c>
      <c r="E25" s="11">
        <f>_xlfn.MAXIFS('Rohdaten AMM'!$C$2:$C$194,'Rohdaten AMM'!$A$2:$A$194,$A25)</f>
        <v>28</v>
      </c>
      <c r="F25" s="11">
        <f>COUNTIFS('Rohdaten Pipeline'!$A$2:$A$89,$A25)</f>
        <v>0</v>
      </c>
      <c r="G25" s="12" t="str">
        <f>IFERROR(AVERAGEIFS('Rohdaten Pipeline'!$C$2:$C$89,'Rohdaten Pipeline'!$A$2:$A$89,$A25),"")</f>
        <v/>
      </c>
      <c r="H25" s="13" t="str">
        <f t="shared" si="0"/>
        <v/>
      </c>
    </row>
    <row r="26" spans="1:8" x14ac:dyDescent="0.25">
      <c r="A26" s="10" t="s">
        <v>264</v>
      </c>
      <c r="B26" s="11">
        <f>COUNTIFS('Rohdaten AMM'!$A$2:$A$194,$A26)</f>
        <v>1</v>
      </c>
      <c r="C26" s="12">
        <f>IFERROR(AVERAGEIFS('Rohdaten AMM'!$C$2:$C$194,'Rohdaten AMM'!$A$2:$A$194,$A26),"")</f>
        <v>15</v>
      </c>
      <c r="D26" s="11">
        <f t="array" ref="D26">MEDIAN(IF('Rohdaten AMM'!$A$2:$A$194=$A26,'Rohdaten AMM'!$C$2:$C$194))</f>
        <v>15</v>
      </c>
      <c r="E26" s="11">
        <f>_xlfn.MAXIFS('Rohdaten AMM'!$C$2:$C$194,'Rohdaten AMM'!$A$2:$A$194,$A26)</f>
        <v>15</v>
      </c>
      <c r="F26" s="11">
        <f>COUNTIFS('Rohdaten Pipeline'!$A$2:$A$89,$A26)</f>
        <v>0</v>
      </c>
      <c r="G26" s="12" t="str">
        <f>IFERROR(AVERAGEIFS('Rohdaten Pipeline'!$C$2:$C$89,'Rohdaten Pipeline'!$A$2:$A$89,$A26),"")</f>
        <v/>
      </c>
      <c r="H26" s="13" t="str">
        <f t="shared" si="0"/>
        <v/>
      </c>
    </row>
    <row r="27" spans="1:8" x14ac:dyDescent="0.25">
      <c r="A27" s="10" t="s">
        <v>266</v>
      </c>
      <c r="B27" s="11">
        <f>COUNTIFS('Rohdaten AMM'!$A$2:$A$194,$A27)</f>
        <v>1</v>
      </c>
      <c r="C27" s="12">
        <f>IFERROR(AVERAGEIFS('Rohdaten AMM'!$C$2:$C$194,'Rohdaten AMM'!$A$2:$A$194,$A27),"")</f>
        <v>15</v>
      </c>
      <c r="D27" s="11">
        <f t="array" ref="D27">MEDIAN(IF('Rohdaten AMM'!$A$2:$A$194=$A27,'Rohdaten AMM'!$C$2:$C$194))</f>
        <v>15</v>
      </c>
      <c r="E27" s="11">
        <f>_xlfn.MAXIFS('Rohdaten AMM'!$C$2:$C$194,'Rohdaten AMM'!$A$2:$A$194,$A27)</f>
        <v>15</v>
      </c>
      <c r="F27" s="11">
        <f>COUNTIFS('Rohdaten Pipeline'!$A$2:$A$89,$A27)</f>
        <v>0</v>
      </c>
      <c r="G27" s="12" t="str">
        <f>IFERROR(AVERAGEIFS('Rohdaten Pipeline'!$C$2:$C$89,'Rohdaten Pipeline'!$A$2:$A$89,$A27),"")</f>
        <v/>
      </c>
      <c r="H27" s="13" t="str">
        <f t="shared" si="0"/>
        <v/>
      </c>
    </row>
    <row r="28" spans="1:8" x14ac:dyDescent="0.25">
      <c r="A28" s="10" t="s">
        <v>103</v>
      </c>
      <c r="B28" s="11">
        <f>COUNTIFS('Rohdaten AMM'!$A$2:$A$194,$A28)</f>
        <v>5</v>
      </c>
      <c r="C28" s="12">
        <f>IFERROR(AVERAGEIFS('Rohdaten AMM'!$C$2:$C$194,'Rohdaten AMM'!$A$2:$A$194,$A28),"")</f>
        <v>14.8</v>
      </c>
      <c r="D28" s="11">
        <f t="array" ref="D28">MEDIAN(IF('Rohdaten AMM'!$A$2:$A$194=$A28,'Rohdaten AMM'!$C$2:$C$194))</f>
        <v>11</v>
      </c>
      <c r="E28" s="11">
        <f>_xlfn.MAXIFS('Rohdaten AMM'!$C$2:$C$194,'Rohdaten AMM'!$A$2:$A$194,$A28)</f>
        <v>30</v>
      </c>
      <c r="F28" s="11">
        <f>COUNTIFS('Rohdaten Pipeline'!$A$2:$A$89,$A28)</f>
        <v>0</v>
      </c>
      <c r="G28" s="12" t="str">
        <f>IFERROR(AVERAGEIFS('Rohdaten Pipeline'!$C$2:$C$89,'Rohdaten Pipeline'!$A$2:$A$89,$A28),"")</f>
        <v/>
      </c>
      <c r="H28" s="13" t="str">
        <f t="shared" si="0"/>
        <v/>
      </c>
    </row>
    <row r="29" spans="1:8" x14ac:dyDescent="0.25">
      <c r="A29" s="10" t="s">
        <v>61</v>
      </c>
      <c r="B29" s="11">
        <f>COUNTIFS('Rohdaten AMM'!$A$2:$A$194,$A29)</f>
        <v>2</v>
      </c>
      <c r="C29" s="12">
        <f>IFERROR(AVERAGEIFS('Rohdaten AMM'!$C$2:$C$194,'Rohdaten AMM'!$A$2:$A$194,$A29),"")</f>
        <v>14.5</v>
      </c>
      <c r="D29" s="11">
        <f t="array" ref="D29">MEDIAN(IF('Rohdaten AMM'!$A$2:$A$194=$A29,'Rohdaten AMM'!$C$2:$C$194))</f>
        <v>14.5</v>
      </c>
      <c r="E29" s="11">
        <f>_xlfn.MAXIFS('Rohdaten AMM'!$C$2:$C$194,'Rohdaten AMM'!$A$2:$A$194,$A29)</f>
        <v>25</v>
      </c>
      <c r="F29" s="11">
        <f>COUNTIFS('Rohdaten Pipeline'!$A$2:$A$89,$A29)</f>
        <v>0</v>
      </c>
      <c r="G29" s="12" t="str">
        <f>IFERROR(AVERAGEIFS('Rohdaten Pipeline'!$C$2:$C$89,'Rohdaten Pipeline'!$A$2:$A$89,$A29),"")</f>
        <v/>
      </c>
      <c r="H29" s="13" t="str">
        <f t="shared" si="0"/>
        <v/>
      </c>
    </row>
    <row r="30" spans="1:8" x14ac:dyDescent="0.25">
      <c r="A30" s="10" t="s">
        <v>249</v>
      </c>
      <c r="B30" s="11">
        <f>COUNTIFS('Rohdaten AMM'!$A$2:$A$194,$A30)</f>
        <v>2</v>
      </c>
      <c r="C30" s="12">
        <f>IFERROR(AVERAGEIFS('Rohdaten AMM'!$C$2:$C$194,'Rohdaten AMM'!$A$2:$A$194,$A30),"")</f>
        <v>14.5</v>
      </c>
      <c r="D30" s="11">
        <f t="array" ref="D30">MEDIAN(IF('Rohdaten AMM'!$A$2:$A$194=$A30,'Rohdaten AMM'!$C$2:$C$194))</f>
        <v>14.5</v>
      </c>
      <c r="E30" s="11">
        <f>_xlfn.MAXIFS('Rohdaten AMM'!$C$2:$C$194,'Rohdaten AMM'!$A$2:$A$194,$A30)</f>
        <v>20</v>
      </c>
      <c r="F30" s="11">
        <f>COUNTIFS('Rohdaten Pipeline'!$A$2:$A$89,$A30)</f>
        <v>0</v>
      </c>
      <c r="G30" s="12" t="str">
        <f>IFERROR(AVERAGEIFS('Rohdaten Pipeline'!$C$2:$C$89,'Rohdaten Pipeline'!$A$2:$A$89,$A30),"")</f>
        <v/>
      </c>
      <c r="H30" s="13" t="str">
        <f t="shared" si="0"/>
        <v/>
      </c>
    </row>
    <row r="31" spans="1:8" x14ac:dyDescent="0.25">
      <c r="A31" s="10" t="s">
        <v>114</v>
      </c>
      <c r="B31" s="11">
        <f>COUNTIFS('Rohdaten AMM'!$A$2:$A$194,$A31)</f>
        <v>1</v>
      </c>
      <c r="C31" s="12">
        <f>IFERROR(AVERAGEIFS('Rohdaten AMM'!$C$2:$C$194,'Rohdaten AMM'!$A$2:$A$194,$A31),"")</f>
        <v>14</v>
      </c>
      <c r="D31" s="11">
        <f t="array" ref="D31">MEDIAN(IF('Rohdaten AMM'!$A$2:$A$194=$A31,'Rohdaten AMM'!$C$2:$C$194))</f>
        <v>14</v>
      </c>
      <c r="E31" s="11">
        <f>_xlfn.MAXIFS('Rohdaten AMM'!$C$2:$C$194,'Rohdaten AMM'!$A$2:$A$194,$A31)</f>
        <v>14</v>
      </c>
      <c r="F31" s="11">
        <f>COUNTIFS('Rohdaten Pipeline'!$A$2:$A$89,$A31)</f>
        <v>0</v>
      </c>
      <c r="G31" s="12" t="str">
        <f>IFERROR(AVERAGEIFS('Rohdaten Pipeline'!$C$2:$C$89,'Rohdaten Pipeline'!$A$2:$A$89,$A31),"")</f>
        <v/>
      </c>
      <c r="H31" s="13" t="str">
        <f t="shared" si="0"/>
        <v/>
      </c>
    </row>
    <row r="32" spans="1:8" x14ac:dyDescent="0.25">
      <c r="A32" s="10" t="s">
        <v>273</v>
      </c>
      <c r="B32" s="11">
        <f>COUNTIFS('Rohdaten AMM'!$A$2:$A$194,$A32)</f>
        <v>2</v>
      </c>
      <c r="C32" s="12">
        <f>IFERROR(AVERAGEIFS('Rohdaten AMM'!$C$2:$C$194,'Rohdaten AMM'!$A$2:$A$194,$A32),"")</f>
        <v>9.5</v>
      </c>
      <c r="D32" s="11">
        <f t="array" ref="D32">MEDIAN(IF('Rohdaten AMM'!$A$2:$A$194=$A32,'Rohdaten AMM'!$C$2:$C$194))</f>
        <v>9.5</v>
      </c>
      <c r="E32" s="11">
        <f>_xlfn.MAXIFS('Rohdaten AMM'!$C$2:$C$194,'Rohdaten AMM'!$A$2:$A$194,$A32)</f>
        <v>14</v>
      </c>
      <c r="F32" s="11">
        <f>COUNTIFS('Rohdaten Pipeline'!$A$2:$A$89,$A32)</f>
        <v>0</v>
      </c>
      <c r="G32" s="12" t="str">
        <f>IFERROR(AVERAGEIFS('Rohdaten Pipeline'!$C$2:$C$89,'Rohdaten Pipeline'!$A$2:$A$89,$A32),"")</f>
        <v/>
      </c>
      <c r="H32" s="13" t="str">
        <f t="shared" si="0"/>
        <v/>
      </c>
    </row>
    <row r="33" spans="1:8" x14ac:dyDescent="0.25">
      <c r="A33" s="10" t="s">
        <v>41</v>
      </c>
      <c r="B33" s="11">
        <f>COUNTIFS('Rohdaten AMM'!$A$2:$A$194,$A33)</f>
        <v>3</v>
      </c>
      <c r="C33" s="12">
        <f>IFERROR(AVERAGEIFS('Rohdaten AMM'!$C$2:$C$194,'Rohdaten AMM'!$A$2:$A$194,$A33),"")</f>
        <v>13.333333333333334</v>
      </c>
      <c r="D33" s="11">
        <f t="array" ref="D33">MEDIAN(IF('Rohdaten AMM'!$A$2:$A$194=$A33,'Rohdaten AMM'!$C$2:$C$194))</f>
        <v>15</v>
      </c>
      <c r="E33" s="11">
        <f>_xlfn.MAXIFS('Rohdaten AMM'!$C$2:$C$194,'Rohdaten AMM'!$A$2:$A$194,$A33)</f>
        <v>17</v>
      </c>
      <c r="F33" s="11">
        <f>COUNTIFS('Rohdaten Pipeline'!$A$2:$A$89,$A33)</f>
        <v>1</v>
      </c>
      <c r="G33" s="12">
        <f>IFERROR(AVERAGEIFS('Rohdaten Pipeline'!$C$2:$C$89,'Rohdaten Pipeline'!$A$2:$A$89,$A33),"")</f>
        <v>14</v>
      </c>
      <c r="H33" s="13" t="str">
        <f t="shared" si="0"/>
        <v/>
      </c>
    </row>
    <row r="34" spans="1:8" x14ac:dyDescent="0.25">
      <c r="A34" s="10" t="s">
        <v>53</v>
      </c>
      <c r="B34" s="11">
        <f>COUNTIFS('Rohdaten AMM'!$A$2:$A$194,$A34)</f>
        <v>3</v>
      </c>
      <c r="C34" s="12">
        <f>IFERROR(AVERAGEIFS('Rohdaten AMM'!$C$2:$C$194,'Rohdaten AMM'!$A$2:$A$194,$A34),"")</f>
        <v>13.333333333333334</v>
      </c>
      <c r="D34" s="11">
        <f t="array" ref="D34">MEDIAN(IF('Rohdaten AMM'!$A$2:$A$194=$A34,'Rohdaten AMM'!$C$2:$C$194))</f>
        <v>12</v>
      </c>
      <c r="E34" s="11">
        <f>_xlfn.MAXIFS('Rohdaten AMM'!$C$2:$C$194,'Rohdaten AMM'!$A$2:$A$194,$A34)</f>
        <v>22</v>
      </c>
      <c r="F34" s="11">
        <f>COUNTIFS('Rohdaten Pipeline'!$A$2:$A$89,$A34)</f>
        <v>2</v>
      </c>
      <c r="G34" s="12">
        <f>IFERROR(AVERAGEIFS('Rohdaten Pipeline'!$C$2:$C$89,'Rohdaten Pipeline'!$A$2:$A$89,$A34),"")</f>
        <v>7.5</v>
      </c>
      <c r="H34" s="13" t="str">
        <f t="shared" si="0"/>
        <v/>
      </c>
    </row>
    <row r="35" spans="1:8" x14ac:dyDescent="0.25">
      <c r="A35" s="10" t="s">
        <v>71</v>
      </c>
      <c r="B35" s="11">
        <f>COUNTIFS('Rohdaten AMM'!$A$2:$A$194,$A35)</f>
        <v>2</v>
      </c>
      <c r="C35" s="12">
        <f>IFERROR(AVERAGEIFS('Rohdaten AMM'!$C$2:$C$194,'Rohdaten AMM'!$A$2:$A$194,$A35),"")</f>
        <v>13</v>
      </c>
      <c r="D35" s="11">
        <f t="array" ref="D35">MEDIAN(IF('Rohdaten AMM'!$A$2:$A$194=$A35,'Rohdaten AMM'!$C$2:$C$194))</f>
        <v>13</v>
      </c>
      <c r="E35" s="11">
        <f>_xlfn.MAXIFS('Rohdaten AMM'!$C$2:$C$194,'Rohdaten AMM'!$A$2:$A$194,$A35)</f>
        <v>25</v>
      </c>
      <c r="F35" s="11">
        <f>COUNTIFS('Rohdaten Pipeline'!$A$2:$A$89,$A35)</f>
        <v>1</v>
      </c>
      <c r="G35" s="12">
        <f>IFERROR(AVERAGEIFS('Rohdaten Pipeline'!$C$2:$C$89,'Rohdaten Pipeline'!$A$2:$A$89,$A35),"")</f>
        <v>16</v>
      </c>
      <c r="H35" s="13" t="str">
        <f t="shared" si="0"/>
        <v/>
      </c>
    </row>
    <row r="36" spans="1:8" x14ac:dyDescent="0.25">
      <c r="A36" s="10" t="s">
        <v>48</v>
      </c>
      <c r="B36" s="11">
        <f>COUNTIFS('Rohdaten AMM'!$A$2:$A$194,$A36)</f>
        <v>11</v>
      </c>
      <c r="C36" s="12">
        <f>IFERROR(AVERAGEIFS('Rohdaten AMM'!$C$2:$C$194,'Rohdaten AMM'!$A$2:$A$194,$A36),"")</f>
        <v>12.272727272727273</v>
      </c>
      <c r="D36" s="11">
        <f t="array" ref="D36">MEDIAN(IF('Rohdaten AMM'!$A$2:$A$194=$A36,'Rohdaten AMM'!$C$2:$C$194))</f>
        <v>12</v>
      </c>
      <c r="E36" s="11">
        <f>_xlfn.MAXIFS('Rohdaten AMM'!$C$2:$C$194,'Rohdaten AMM'!$A$2:$A$194,$A36)</f>
        <v>29</v>
      </c>
      <c r="F36" s="11">
        <f>COUNTIFS('Rohdaten Pipeline'!$A$2:$A$89,$A36)</f>
        <v>2</v>
      </c>
      <c r="G36" s="12">
        <f>IFERROR(AVERAGEIFS('Rohdaten Pipeline'!$C$2:$C$89,'Rohdaten Pipeline'!$A$2:$A$89,$A36),"")</f>
        <v>5.5</v>
      </c>
      <c r="H36" s="13" t="str">
        <f t="shared" si="0"/>
        <v/>
      </c>
    </row>
    <row r="37" spans="1:8" x14ac:dyDescent="0.25">
      <c r="A37" s="10" t="s">
        <v>23</v>
      </c>
      <c r="B37" s="11">
        <f>COUNTIFS('Rohdaten AMM'!$A$2:$A$194,$A37)</f>
        <v>5</v>
      </c>
      <c r="C37" s="12">
        <f>IFERROR(AVERAGEIFS('Rohdaten AMM'!$C$2:$C$194,'Rohdaten AMM'!$A$2:$A$194,$A37),"")</f>
        <v>11.8</v>
      </c>
      <c r="D37" s="11">
        <f t="array" ref="D37">MEDIAN(IF('Rohdaten AMM'!$A$2:$A$194=$A37,'Rohdaten AMM'!$C$2:$C$194))</f>
        <v>4</v>
      </c>
      <c r="E37" s="11">
        <f>_xlfn.MAXIFS('Rohdaten AMM'!$C$2:$C$194,'Rohdaten AMM'!$A$2:$A$194,$A37)</f>
        <v>39</v>
      </c>
      <c r="F37" s="11">
        <f>COUNTIFS('Rohdaten Pipeline'!$A$2:$A$89,$A37)</f>
        <v>2</v>
      </c>
      <c r="G37" s="12">
        <f>IFERROR(AVERAGEIFS('Rohdaten Pipeline'!$C$2:$C$89,'Rohdaten Pipeline'!$A$2:$A$89,$A37),"")</f>
        <v>8.5</v>
      </c>
      <c r="H37" s="13" t="str">
        <f t="shared" ref="H37:H68" si="1">IF($E37&gt;=45,"Ausreißer prüfen — Storno oder Vorkasse-Wartezeit?",IF($C37&gt;=20,"überdurchschnittlich langsam",""))</f>
        <v/>
      </c>
    </row>
    <row r="38" spans="1:8" x14ac:dyDescent="0.25">
      <c r="A38" s="10" t="s">
        <v>92</v>
      </c>
      <c r="B38" s="11">
        <f>COUNTIFS('Rohdaten AMM'!$A$2:$A$194,$A38)</f>
        <v>4</v>
      </c>
      <c r="C38" s="12">
        <f>IFERROR(AVERAGEIFS('Rohdaten AMM'!$C$2:$C$194,'Rohdaten AMM'!$A$2:$A$194,$A38),"")</f>
        <v>11.75</v>
      </c>
      <c r="D38" s="11">
        <f t="array" ref="D38">MEDIAN(IF('Rohdaten AMM'!$A$2:$A$194=$A38,'Rohdaten AMM'!$C$2:$C$194))</f>
        <v>12.5</v>
      </c>
      <c r="E38" s="11">
        <f>_xlfn.MAXIFS('Rohdaten AMM'!$C$2:$C$194,'Rohdaten AMM'!$A$2:$A$194,$A38)</f>
        <v>16</v>
      </c>
      <c r="F38" s="11">
        <f>COUNTIFS('Rohdaten Pipeline'!$A$2:$A$89,$A38)</f>
        <v>1</v>
      </c>
      <c r="G38" s="12">
        <f>IFERROR(AVERAGEIFS('Rohdaten Pipeline'!$C$2:$C$89,'Rohdaten Pipeline'!$A$2:$A$89,$A38),"")</f>
        <v>9</v>
      </c>
      <c r="H38" s="13" t="str">
        <f t="shared" si="1"/>
        <v/>
      </c>
    </row>
    <row r="39" spans="1:8" x14ac:dyDescent="0.25">
      <c r="A39" s="10" t="s">
        <v>106</v>
      </c>
      <c r="B39" s="11">
        <f>COUNTIFS('Rohdaten AMM'!$A$2:$A$194,$A39)</f>
        <v>1</v>
      </c>
      <c r="C39" s="12">
        <f>IFERROR(AVERAGEIFS('Rohdaten AMM'!$C$2:$C$194,'Rohdaten AMM'!$A$2:$A$194,$A39),"")</f>
        <v>11</v>
      </c>
      <c r="D39" s="11">
        <f t="array" ref="D39">MEDIAN(IF('Rohdaten AMM'!$A$2:$A$194=$A39,'Rohdaten AMM'!$C$2:$C$194))</f>
        <v>11</v>
      </c>
      <c r="E39" s="11">
        <f>_xlfn.MAXIFS('Rohdaten AMM'!$C$2:$C$194,'Rohdaten AMM'!$A$2:$A$194,$A39)</f>
        <v>11</v>
      </c>
      <c r="F39" s="11">
        <f>COUNTIFS('Rohdaten Pipeline'!$A$2:$A$89,$A39)</f>
        <v>2</v>
      </c>
      <c r="G39" s="12">
        <f>IFERROR(AVERAGEIFS('Rohdaten Pipeline'!$C$2:$C$89,'Rohdaten Pipeline'!$A$2:$A$89,$A39),"")</f>
        <v>5.5</v>
      </c>
      <c r="H39" s="13" t="str">
        <f t="shared" si="1"/>
        <v/>
      </c>
    </row>
    <row r="40" spans="1:8" x14ac:dyDescent="0.25">
      <c r="A40" s="10" t="s">
        <v>147</v>
      </c>
      <c r="B40" s="11">
        <f>COUNTIFS('Rohdaten AMM'!$A$2:$A$194,$A40)</f>
        <v>1</v>
      </c>
      <c r="C40" s="12">
        <f>IFERROR(AVERAGEIFS('Rohdaten AMM'!$C$2:$C$194,'Rohdaten AMM'!$A$2:$A$194,$A40),"")</f>
        <v>11</v>
      </c>
      <c r="D40" s="11">
        <f t="array" ref="D40">MEDIAN(IF('Rohdaten AMM'!$A$2:$A$194=$A40,'Rohdaten AMM'!$C$2:$C$194))</f>
        <v>11</v>
      </c>
      <c r="E40" s="11">
        <f>_xlfn.MAXIFS('Rohdaten AMM'!$C$2:$C$194,'Rohdaten AMM'!$A$2:$A$194,$A40)</f>
        <v>11</v>
      </c>
      <c r="F40" s="11">
        <f>COUNTIFS('Rohdaten Pipeline'!$A$2:$A$89,$A40)</f>
        <v>0</v>
      </c>
      <c r="G40" s="12" t="str">
        <f>IFERROR(AVERAGEIFS('Rohdaten Pipeline'!$C$2:$C$89,'Rohdaten Pipeline'!$A$2:$A$89,$A40),"")</f>
        <v/>
      </c>
      <c r="H40" s="13" t="str">
        <f t="shared" si="1"/>
        <v/>
      </c>
    </row>
    <row r="41" spans="1:8" x14ac:dyDescent="0.25">
      <c r="A41" s="10" t="s">
        <v>277</v>
      </c>
      <c r="B41" s="11">
        <f>COUNTIFS('Rohdaten AMM'!$A$2:$A$194,$A41)</f>
        <v>3</v>
      </c>
      <c r="C41" s="12">
        <f>IFERROR(AVERAGEIFS('Rohdaten AMM'!$C$2:$C$194,'Rohdaten AMM'!$A$2:$A$194,$A41),"")</f>
        <v>10.666666666666666</v>
      </c>
      <c r="D41" s="11">
        <f t="array" ref="D41">MEDIAN(IF('Rohdaten AMM'!$A$2:$A$194=$A41,'Rohdaten AMM'!$C$2:$C$194))</f>
        <v>11</v>
      </c>
      <c r="E41" s="11">
        <f>_xlfn.MAXIFS('Rohdaten AMM'!$C$2:$C$194,'Rohdaten AMM'!$A$2:$A$194,$A41)</f>
        <v>11</v>
      </c>
      <c r="F41" s="11">
        <f>COUNTIFS('Rohdaten Pipeline'!$A$2:$A$89,$A41)</f>
        <v>0</v>
      </c>
      <c r="G41" s="12" t="str">
        <f>IFERROR(AVERAGEIFS('Rohdaten Pipeline'!$C$2:$C$89,'Rohdaten Pipeline'!$A$2:$A$89,$A41),"")</f>
        <v/>
      </c>
      <c r="H41" s="13" t="str">
        <f t="shared" si="1"/>
        <v/>
      </c>
    </row>
    <row r="42" spans="1:8" x14ac:dyDescent="0.25">
      <c r="A42" s="10" t="s">
        <v>275</v>
      </c>
      <c r="B42" s="11">
        <f>COUNTIFS('Rohdaten AMM'!$A$2:$A$194,$A42)</f>
        <v>1</v>
      </c>
      <c r="C42" s="12">
        <f>IFERROR(AVERAGEIFS('Rohdaten AMM'!$C$2:$C$194,'Rohdaten AMM'!$A$2:$A$194,$A42),"")</f>
        <v>10</v>
      </c>
      <c r="D42" s="11">
        <f t="array" ref="D42">MEDIAN(IF('Rohdaten AMM'!$A$2:$A$194=$A42,'Rohdaten AMM'!$C$2:$C$194))</f>
        <v>10</v>
      </c>
      <c r="E42" s="11">
        <f>_xlfn.MAXIFS('Rohdaten AMM'!$C$2:$C$194,'Rohdaten AMM'!$A$2:$A$194,$A42)</f>
        <v>10</v>
      </c>
      <c r="F42" s="11">
        <f>COUNTIFS('Rohdaten Pipeline'!$A$2:$A$89,$A42)</f>
        <v>0</v>
      </c>
      <c r="G42" s="12" t="str">
        <f>IFERROR(AVERAGEIFS('Rohdaten Pipeline'!$C$2:$C$89,'Rohdaten Pipeline'!$A$2:$A$89,$A42),"")</f>
        <v/>
      </c>
      <c r="H42" s="13" t="str">
        <f t="shared" si="1"/>
        <v/>
      </c>
    </row>
    <row r="43" spans="1:8" x14ac:dyDescent="0.25">
      <c r="A43" s="10" t="s">
        <v>285</v>
      </c>
      <c r="B43" s="11">
        <f>COUNTIFS('Rohdaten AMM'!$A$2:$A$194,$A43)</f>
        <v>1</v>
      </c>
      <c r="C43" s="12">
        <f>IFERROR(AVERAGEIFS('Rohdaten AMM'!$C$2:$C$194,'Rohdaten AMM'!$A$2:$A$194,$A43),"")</f>
        <v>10</v>
      </c>
      <c r="D43" s="11">
        <f t="array" ref="D43">MEDIAN(IF('Rohdaten AMM'!$A$2:$A$194=$A43,'Rohdaten AMM'!$C$2:$C$194))</f>
        <v>10</v>
      </c>
      <c r="E43" s="11">
        <f>_xlfn.MAXIFS('Rohdaten AMM'!$C$2:$C$194,'Rohdaten AMM'!$A$2:$A$194,$A43)</f>
        <v>10</v>
      </c>
      <c r="F43" s="11">
        <f>COUNTIFS('Rohdaten Pipeline'!$A$2:$A$89,$A43)</f>
        <v>0</v>
      </c>
      <c r="G43" s="12" t="str">
        <f>IFERROR(AVERAGEIFS('Rohdaten Pipeline'!$C$2:$C$89,'Rohdaten Pipeline'!$A$2:$A$89,$A43),"")</f>
        <v/>
      </c>
      <c r="H43" s="13" t="str">
        <f t="shared" si="1"/>
        <v/>
      </c>
    </row>
    <row r="44" spans="1:8" x14ac:dyDescent="0.25">
      <c r="A44" s="10" t="s">
        <v>50</v>
      </c>
      <c r="B44" s="11">
        <f>COUNTIFS('Rohdaten AMM'!$A$2:$A$194,$A44)</f>
        <v>3</v>
      </c>
      <c r="C44" s="12">
        <f>IFERROR(AVERAGEIFS('Rohdaten AMM'!$C$2:$C$194,'Rohdaten AMM'!$A$2:$A$194,$A44),"")</f>
        <v>9</v>
      </c>
      <c r="D44" s="11">
        <f t="array" ref="D44">MEDIAN(IF('Rohdaten AMM'!$A$2:$A$194=$A44,'Rohdaten AMM'!$C$2:$C$194))</f>
        <v>7</v>
      </c>
      <c r="E44" s="11">
        <f>_xlfn.MAXIFS('Rohdaten AMM'!$C$2:$C$194,'Rohdaten AMM'!$A$2:$A$194,$A44)</f>
        <v>14</v>
      </c>
      <c r="F44" s="11">
        <f>COUNTIFS('Rohdaten Pipeline'!$A$2:$A$89,$A44)</f>
        <v>2</v>
      </c>
      <c r="G44" s="12">
        <f>IFERROR(AVERAGEIFS('Rohdaten Pipeline'!$C$2:$C$89,'Rohdaten Pipeline'!$A$2:$A$89,$A44),"")</f>
        <v>8</v>
      </c>
      <c r="H44" s="13" t="str">
        <f t="shared" si="1"/>
        <v/>
      </c>
    </row>
    <row r="45" spans="1:8" x14ac:dyDescent="0.25">
      <c r="A45" s="10" t="s">
        <v>170</v>
      </c>
      <c r="B45" s="11">
        <f>COUNTIFS('Rohdaten AMM'!$A$2:$A$194,$A45)</f>
        <v>3</v>
      </c>
      <c r="C45" s="12">
        <f>IFERROR(AVERAGEIFS('Rohdaten AMM'!$C$2:$C$194,'Rohdaten AMM'!$A$2:$A$194,$A45),"")</f>
        <v>9</v>
      </c>
      <c r="D45" s="11">
        <f t="array" ref="D45">MEDIAN(IF('Rohdaten AMM'!$A$2:$A$194=$A45,'Rohdaten AMM'!$C$2:$C$194))</f>
        <v>9</v>
      </c>
      <c r="E45" s="11">
        <f>_xlfn.MAXIFS('Rohdaten AMM'!$C$2:$C$194,'Rohdaten AMM'!$A$2:$A$194,$A45)</f>
        <v>13</v>
      </c>
      <c r="F45" s="11">
        <f>COUNTIFS('Rohdaten Pipeline'!$A$2:$A$89,$A45)</f>
        <v>0</v>
      </c>
      <c r="G45" s="12" t="str">
        <f>IFERROR(AVERAGEIFS('Rohdaten Pipeline'!$C$2:$C$89,'Rohdaten Pipeline'!$A$2:$A$89,$A45),"")</f>
        <v/>
      </c>
      <c r="H45" s="13" t="str">
        <f t="shared" si="1"/>
        <v/>
      </c>
    </row>
    <row r="46" spans="1:8" x14ac:dyDescent="0.25">
      <c r="A46" s="10" t="s">
        <v>288</v>
      </c>
      <c r="B46" s="11">
        <f>COUNTIFS('Rohdaten AMM'!$A$2:$A$194,$A46)</f>
        <v>2</v>
      </c>
      <c r="C46" s="12">
        <f>IFERROR(AVERAGEIFS('Rohdaten AMM'!$C$2:$C$194,'Rohdaten AMM'!$A$2:$A$194,$A46),"")</f>
        <v>9</v>
      </c>
      <c r="D46" s="11">
        <f t="array" ref="D46">MEDIAN(IF('Rohdaten AMM'!$A$2:$A$194=$A46,'Rohdaten AMM'!$C$2:$C$194))</f>
        <v>9</v>
      </c>
      <c r="E46" s="11">
        <f>_xlfn.MAXIFS('Rohdaten AMM'!$C$2:$C$194,'Rohdaten AMM'!$A$2:$A$194,$A46)</f>
        <v>9</v>
      </c>
      <c r="F46" s="11">
        <f>COUNTIFS('Rohdaten Pipeline'!$A$2:$A$89,$A46)</f>
        <v>1</v>
      </c>
      <c r="G46" s="12">
        <f>IFERROR(AVERAGEIFS('Rohdaten Pipeline'!$C$2:$C$89,'Rohdaten Pipeline'!$A$2:$A$89,$A46),"")</f>
        <v>5</v>
      </c>
      <c r="H46" s="13" t="str">
        <f t="shared" si="1"/>
        <v/>
      </c>
    </row>
    <row r="47" spans="1:8" x14ac:dyDescent="0.25">
      <c r="A47" s="10" t="s">
        <v>293</v>
      </c>
      <c r="B47" s="11">
        <f>COUNTIFS('Rohdaten AMM'!$A$2:$A$194,$A47)</f>
        <v>1</v>
      </c>
      <c r="C47" s="12">
        <f>IFERROR(AVERAGEIFS('Rohdaten AMM'!$C$2:$C$194,'Rohdaten AMM'!$A$2:$A$194,$A47),"")</f>
        <v>9</v>
      </c>
      <c r="D47" s="11">
        <f t="array" ref="D47">MEDIAN(IF('Rohdaten AMM'!$A$2:$A$194=$A47,'Rohdaten AMM'!$C$2:$C$194))</f>
        <v>9</v>
      </c>
      <c r="E47" s="11">
        <f>_xlfn.MAXIFS('Rohdaten AMM'!$C$2:$C$194,'Rohdaten AMM'!$A$2:$A$194,$A47)</f>
        <v>9</v>
      </c>
      <c r="F47" s="11">
        <f>COUNTIFS('Rohdaten Pipeline'!$A$2:$A$89,$A47)</f>
        <v>0</v>
      </c>
      <c r="G47" s="12" t="str">
        <f>IFERROR(AVERAGEIFS('Rohdaten Pipeline'!$C$2:$C$89,'Rohdaten Pipeline'!$A$2:$A$89,$A47),"")</f>
        <v/>
      </c>
      <c r="H47" s="13" t="str">
        <f t="shared" si="1"/>
        <v/>
      </c>
    </row>
    <row r="48" spans="1:8" x14ac:dyDescent="0.25">
      <c r="A48" s="10" t="s">
        <v>69</v>
      </c>
      <c r="B48" s="11">
        <f>COUNTIFS('Rohdaten AMM'!$A$2:$A$194,$A48)</f>
        <v>5</v>
      </c>
      <c r="C48" s="12">
        <f>IFERROR(AVERAGEIFS('Rohdaten AMM'!$C$2:$C$194,'Rohdaten AMM'!$A$2:$A$194,$A48),"")</f>
        <v>8</v>
      </c>
      <c r="D48" s="11">
        <f t="array" ref="D48">MEDIAN(IF('Rohdaten AMM'!$A$2:$A$194=$A48,'Rohdaten AMM'!$C$2:$C$194))</f>
        <v>8</v>
      </c>
      <c r="E48" s="11">
        <f>_xlfn.MAXIFS('Rohdaten AMM'!$C$2:$C$194,'Rohdaten AMM'!$A$2:$A$194,$A48)</f>
        <v>16</v>
      </c>
      <c r="F48" s="11">
        <f>COUNTIFS('Rohdaten Pipeline'!$A$2:$A$89,$A48)</f>
        <v>0</v>
      </c>
      <c r="G48" s="12" t="str">
        <f>IFERROR(AVERAGEIFS('Rohdaten Pipeline'!$C$2:$C$89,'Rohdaten Pipeline'!$A$2:$A$89,$A48),"")</f>
        <v/>
      </c>
      <c r="H48" s="13" t="str">
        <f t="shared" si="1"/>
        <v/>
      </c>
    </row>
    <row r="49" spans="1:8" x14ac:dyDescent="0.25">
      <c r="A49" s="10" t="s">
        <v>198</v>
      </c>
      <c r="B49" s="11">
        <f>COUNTIFS('Rohdaten AMM'!$A$2:$A$194,$A49)</f>
        <v>5</v>
      </c>
      <c r="C49" s="12">
        <f>IFERROR(AVERAGEIFS('Rohdaten AMM'!$C$2:$C$194,'Rohdaten AMM'!$A$2:$A$194,$A49),"")</f>
        <v>8</v>
      </c>
      <c r="D49" s="11">
        <f t="array" ref="D49">MEDIAN(IF('Rohdaten AMM'!$A$2:$A$194=$A49,'Rohdaten AMM'!$C$2:$C$194))</f>
        <v>9</v>
      </c>
      <c r="E49" s="11">
        <f>_xlfn.MAXIFS('Rohdaten AMM'!$C$2:$C$194,'Rohdaten AMM'!$A$2:$A$194,$A49)</f>
        <v>14</v>
      </c>
      <c r="F49" s="11">
        <f>COUNTIFS('Rohdaten Pipeline'!$A$2:$A$89,$A49)</f>
        <v>0</v>
      </c>
      <c r="G49" s="12" t="str">
        <f>IFERROR(AVERAGEIFS('Rohdaten Pipeline'!$C$2:$C$89,'Rohdaten Pipeline'!$A$2:$A$89,$A49),"")</f>
        <v/>
      </c>
      <c r="H49" s="13" t="str">
        <f t="shared" si="1"/>
        <v/>
      </c>
    </row>
    <row r="50" spans="1:8" x14ac:dyDescent="0.25">
      <c r="A50" s="10" t="s">
        <v>245</v>
      </c>
      <c r="B50" s="11">
        <f>COUNTIFS('Rohdaten AMM'!$A$2:$A$194,$A50)</f>
        <v>2</v>
      </c>
      <c r="C50" s="12">
        <f>IFERROR(AVERAGEIFS('Rohdaten AMM'!$C$2:$C$194,'Rohdaten AMM'!$A$2:$A$194,$A50),"")</f>
        <v>8</v>
      </c>
      <c r="D50" s="11">
        <f t="array" ref="D50">MEDIAN(IF('Rohdaten AMM'!$A$2:$A$194=$A50,'Rohdaten AMM'!$C$2:$C$194))</f>
        <v>8</v>
      </c>
      <c r="E50" s="11">
        <f>_xlfn.MAXIFS('Rohdaten AMM'!$C$2:$C$194,'Rohdaten AMM'!$A$2:$A$194,$A50)</f>
        <v>15</v>
      </c>
      <c r="F50" s="11">
        <f>COUNTIFS('Rohdaten Pipeline'!$A$2:$A$89,$A50)</f>
        <v>0</v>
      </c>
      <c r="G50" s="12" t="str">
        <f>IFERROR(AVERAGEIFS('Rohdaten Pipeline'!$C$2:$C$89,'Rohdaten Pipeline'!$A$2:$A$89,$A50),"")</f>
        <v/>
      </c>
      <c r="H50" s="13" t="str">
        <f t="shared" si="1"/>
        <v/>
      </c>
    </row>
    <row r="51" spans="1:8" x14ac:dyDescent="0.25">
      <c r="A51" s="10" t="s">
        <v>79</v>
      </c>
      <c r="B51" s="11">
        <f>COUNTIFS('Rohdaten AMM'!$A$2:$A$194,$A51)</f>
        <v>9</v>
      </c>
      <c r="C51" s="12">
        <f>IFERROR(AVERAGEIFS('Rohdaten AMM'!$C$2:$C$194,'Rohdaten AMM'!$A$2:$A$194,$A51),"")</f>
        <v>7.7777777777777777</v>
      </c>
      <c r="D51" s="11">
        <f t="array" ref="D51">MEDIAN(IF('Rohdaten AMM'!$A$2:$A$194=$A51,'Rohdaten AMM'!$C$2:$C$194))</f>
        <v>5</v>
      </c>
      <c r="E51" s="11">
        <f>_xlfn.MAXIFS('Rohdaten AMM'!$C$2:$C$194,'Rohdaten AMM'!$A$2:$A$194,$A51)</f>
        <v>18</v>
      </c>
      <c r="F51" s="11">
        <f>COUNTIFS('Rohdaten Pipeline'!$A$2:$A$89,$A51)</f>
        <v>5</v>
      </c>
      <c r="G51" s="12">
        <f>IFERROR(AVERAGEIFS('Rohdaten Pipeline'!$C$2:$C$89,'Rohdaten Pipeline'!$A$2:$A$89,$A51),"")</f>
        <v>7.6</v>
      </c>
      <c r="H51" s="13" t="str">
        <f t="shared" si="1"/>
        <v/>
      </c>
    </row>
    <row r="52" spans="1:8" x14ac:dyDescent="0.25">
      <c r="A52" s="10" t="s">
        <v>86</v>
      </c>
      <c r="B52" s="11">
        <f>COUNTIFS('Rohdaten AMM'!$A$2:$A$194,$A52)</f>
        <v>3</v>
      </c>
      <c r="C52" s="12">
        <f>IFERROR(AVERAGEIFS('Rohdaten AMM'!$C$2:$C$194,'Rohdaten AMM'!$A$2:$A$194,$A52),"")</f>
        <v>7.666666666666667</v>
      </c>
      <c r="D52" s="11">
        <f t="array" ref="D52">MEDIAN(IF('Rohdaten AMM'!$A$2:$A$194=$A52,'Rohdaten AMM'!$C$2:$C$194))</f>
        <v>5</v>
      </c>
      <c r="E52" s="11">
        <f>_xlfn.MAXIFS('Rohdaten AMM'!$C$2:$C$194,'Rohdaten AMM'!$A$2:$A$194,$A52)</f>
        <v>16</v>
      </c>
      <c r="F52" s="11">
        <f>COUNTIFS('Rohdaten Pipeline'!$A$2:$A$89,$A52)</f>
        <v>0</v>
      </c>
      <c r="G52" s="12" t="str">
        <f>IFERROR(AVERAGEIFS('Rohdaten Pipeline'!$C$2:$C$89,'Rohdaten Pipeline'!$A$2:$A$89,$A52),"")</f>
        <v/>
      </c>
      <c r="H52" s="13" t="str">
        <f t="shared" si="1"/>
        <v/>
      </c>
    </row>
    <row r="53" spans="1:8" x14ac:dyDescent="0.25">
      <c r="A53" s="10" t="s">
        <v>150</v>
      </c>
      <c r="B53" s="11">
        <f>COUNTIFS('Rohdaten AMM'!$A$2:$A$194,$A53)</f>
        <v>2</v>
      </c>
      <c r="C53" s="12">
        <f>IFERROR(AVERAGEIFS('Rohdaten AMM'!$C$2:$C$194,'Rohdaten AMM'!$A$2:$A$194,$A53),"")</f>
        <v>7.5</v>
      </c>
      <c r="D53" s="11">
        <f t="array" ref="D53">MEDIAN(IF('Rohdaten AMM'!$A$2:$A$194=$A53,'Rohdaten AMM'!$C$2:$C$194))</f>
        <v>7.5</v>
      </c>
      <c r="E53" s="11">
        <f>_xlfn.MAXIFS('Rohdaten AMM'!$C$2:$C$194,'Rohdaten AMM'!$A$2:$A$194,$A53)</f>
        <v>14</v>
      </c>
      <c r="F53" s="11">
        <f>COUNTIFS('Rohdaten Pipeline'!$A$2:$A$89,$A53)</f>
        <v>0</v>
      </c>
      <c r="G53" s="12" t="str">
        <f>IFERROR(AVERAGEIFS('Rohdaten Pipeline'!$C$2:$C$89,'Rohdaten Pipeline'!$A$2:$A$89,$A53),"")</f>
        <v/>
      </c>
      <c r="H53" s="13" t="str">
        <f t="shared" si="1"/>
        <v/>
      </c>
    </row>
    <row r="54" spans="1:8" x14ac:dyDescent="0.25">
      <c r="A54" s="10" t="s">
        <v>57</v>
      </c>
      <c r="B54" s="11">
        <f>COUNTIFS('Rohdaten AMM'!$A$2:$A$194,$A54)</f>
        <v>1</v>
      </c>
      <c r="C54" s="12">
        <f>IFERROR(AVERAGEIFS('Rohdaten AMM'!$C$2:$C$194,'Rohdaten AMM'!$A$2:$A$194,$A54),"")</f>
        <v>7</v>
      </c>
      <c r="D54" s="11">
        <f t="array" ref="D54">MEDIAN(IF('Rohdaten AMM'!$A$2:$A$194=$A54,'Rohdaten AMM'!$C$2:$C$194))</f>
        <v>7</v>
      </c>
      <c r="E54" s="11">
        <f>_xlfn.MAXIFS('Rohdaten AMM'!$C$2:$C$194,'Rohdaten AMM'!$A$2:$A$194,$A54)</f>
        <v>7</v>
      </c>
      <c r="F54" s="11">
        <f>COUNTIFS('Rohdaten Pipeline'!$A$2:$A$89,$A54)</f>
        <v>0</v>
      </c>
      <c r="G54" s="12" t="str">
        <f>IFERROR(AVERAGEIFS('Rohdaten Pipeline'!$C$2:$C$89,'Rohdaten Pipeline'!$A$2:$A$89,$A54),"")</f>
        <v/>
      </c>
      <c r="H54" s="13" t="str">
        <f t="shared" si="1"/>
        <v/>
      </c>
    </row>
    <row r="55" spans="1:8" x14ac:dyDescent="0.25">
      <c r="A55" s="10" t="s">
        <v>119</v>
      </c>
      <c r="B55" s="11">
        <f>COUNTIFS('Rohdaten AMM'!$A$2:$A$194,$A55)</f>
        <v>4</v>
      </c>
      <c r="C55" s="12">
        <f>IFERROR(AVERAGEIFS('Rohdaten AMM'!$C$2:$C$194,'Rohdaten AMM'!$A$2:$A$194,$A55),"")</f>
        <v>7</v>
      </c>
      <c r="D55" s="11">
        <f t="array" ref="D55">MEDIAN(IF('Rohdaten AMM'!$A$2:$A$194=$A55,'Rohdaten AMM'!$C$2:$C$194))</f>
        <v>7.5</v>
      </c>
      <c r="E55" s="11">
        <f>_xlfn.MAXIFS('Rohdaten AMM'!$C$2:$C$194,'Rohdaten AMM'!$A$2:$A$194,$A55)</f>
        <v>10</v>
      </c>
      <c r="F55" s="11">
        <f>COUNTIFS('Rohdaten Pipeline'!$A$2:$A$89,$A55)</f>
        <v>0</v>
      </c>
      <c r="G55" s="12" t="str">
        <f>IFERROR(AVERAGEIFS('Rohdaten Pipeline'!$C$2:$C$89,'Rohdaten Pipeline'!$A$2:$A$89,$A55),"")</f>
        <v/>
      </c>
      <c r="H55" s="13" t="str">
        <f t="shared" si="1"/>
        <v/>
      </c>
    </row>
    <row r="56" spans="1:8" x14ac:dyDescent="0.25">
      <c r="A56" s="10" t="s">
        <v>142</v>
      </c>
      <c r="B56" s="11">
        <f>COUNTIFS('Rohdaten AMM'!$A$2:$A$194,$A56)</f>
        <v>3</v>
      </c>
      <c r="C56" s="12">
        <f>IFERROR(AVERAGEIFS('Rohdaten AMM'!$C$2:$C$194,'Rohdaten AMM'!$A$2:$A$194,$A56),"")</f>
        <v>6.333333333333333</v>
      </c>
      <c r="D56" s="11">
        <f t="array" ref="D56">MEDIAN(IF('Rohdaten AMM'!$A$2:$A$194=$A56,'Rohdaten AMM'!$C$2:$C$194))</f>
        <v>8</v>
      </c>
      <c r="E56" s="11">
        <f>_xlfn.MAXIFS('Rohdaten AMM'!$C$2:$C$194,'Rohdaten AMM'!$A$2:$A$194,$A56)</f>
        <v>10</v>
      </c>
      <c r="F56" s="11">
        <f>COUNTIFS('Rohdaten Pipeline'!$A$2:$A$89,$A56)</f>
        <v>2</v>
      </c>
      <c r="G56" s="12">
        <f>IFERROR(AVERAGEIFS('Rohdaten Pipeline'!$C$2:$C$89,'Rohdaten Pipeline'!$A$2:$A$89,$A56),"")</f>
        <v>5.5</v>
      </c>
      <c r="H56" s="13" t="str">
        <f t="shared" si="1"/>
        <v/>
      </c>
    </row>
    <row r="57" spans="1:8" x14ac:dyDescent="0.25">
      <c r="A57" s="10" t="s">
        <v>73</v>
      </c>
      <c r="B57" s="11">
        <f>COUNTIFS('Rohdaten AMM'!$A$2:$A$194,$A57)</f>
        <v>1</v>
      </c>
      <c r="C57" s="12">
        <f>IFERROR(AVERAGEIFS('Rohdaten AMM'!$C$2:$C$194,'Rohdaten AMM'!$A$2:$A$194,$A57),"")</f>
        <v>6</v>
      </c>
      <c r="D57" s="11">
        <f t="array" ref="D57">MEDIAN(IF('Rohdaten AMM'!$A$2:$A$194=$A57,'Rohdaten AMM'!$C$2:$C$194))</f>
        <v>6</v>
      </c>
      <c r="E57" s="11">
        <f>_xlfn.MAXIFS('Rohdaten AMM'!$C$2:$C$194,'Rohdaten AMM'!$A$2:$A$194,$A57)</f>
        <v>6</v>
      </c>
      <c r="F57" s="11">
        <f>COUNTIFS('Rohdaten Pipeline'!$A$2:$A$89,$A57)</f>
        <v>2</v>
      </c>
      <c r="G57" s="12">
        <f>IFERROR(AVERAGEIFS('Rohdaten Pipeline'!$C$2:$C$89,'Rohdaten Pipeline'!$A$2:$A$89,$A57),"")</f>
        <v>8</v>
      </c>
      <c r="H57" s="13" t="str">
        <f t="shared" si="1"/>
        <v/>
      </c>
    </row>
    <row r="58" spans="1:8" x14ac:dyDescent="0.25">
      <c r="A58" s="10" t="s">
        <v>83</v>
      </c>
      <c r="B58" s="11">
        <f>COUNTIFS('Rohdaten AMM'!$A$2:$A$194,$A58)</f>
        <v>2</v>
      </c>
      <c r="C58" s="12">
        <f>IFERROR(AVERAGEIFS('Rohdaten AMM'!$C$2:$C$194,'Rohdaten AMM'!$A$2:$A$194,$A58),"")</f>
        <v>6</v>
      </c>
      <c r="D58" s="11">
        <f t="array" ref="D58">MEDIAN(IF('Rohdaten AMM'!$A$2:$A$194=$A58,'Rohdaten AMM'!$C$2:$C$194))</f>
        <v>6</v>
      </c>
      <c r="E58" s="11">
        <f>_xlfn.MAXIFS('Rohdaten AMM'!$C$2:$C$194,'Rohdaten AMM'!$A$2:$A$194,$A58)</f>
        <v>8</v>
      </c>
      <c r="F58" s="11">
        <f>COUNTIFS('Rohdaten Pipeline'!$A$2:$A$89,$A58)</f>
        <v>1</v>
      </c>
      <c r="G58" s="12">
        <f>IFERROR(AVERAGEIFS('Rohdaten Pipeline'!$C$2:$C$89,'Rohdaten Pipeline'!$A$2:$A$89,$A58),"")</f>
        <v>7</v>
      </c>
      <c r="H58" s="13" t="str">
        <f t="shared" si="1"/>
        <v/>
      </c>
    </row>
    <row r="59" spans="1:8" x14ac:dyDescent="0.25">
      <c r="A59" s="10" t="s">
        <v>155</v>
      </c>
      <c r="B59" s="11">
        <f>COUNTIFS('Rohdaten AMM'!$A$2:$A$194,$A59)</f>
        <v>1</v>
      </c>
      <c r="C59" s="12">
        <f>IFERROR(AVERAGEIFS('Rohdaten AMM'!$C$2:$C$194,'Rohdaten AMM'!$A$2:$A$194,$A59),"")</f>
        <v>6</v>
      </c>
      <c r="D59" s="11">
        <f t="array" ref="D59">MEDIAN(IF('Rohdaten AMM'!$A$2:$A$194=$A59,'Rohdaten AMM'!$C$2:$C$194))</f>
        <v>6</v>
      </c>
      <c r="E59" s="11">
        <f>_xlfn.MAXIFS('Rohdaten AMM'!$C$2:$C$194,'Rohdaten AMM'!$A$2:$A$194,$A59)</f>
        <v>6</v>
      </c>
      <c r="F59" s="11">
        <f>COUNTIFS('Rohdaten Pipeline'!$A$2:$A$89,$A59)</f>
        <v>1</v>
      </c>
      <c r="G59" s="12">
        <f>IFERROR(AVERAGEIFS('Rohdaten Pipeline'!$C$2:$C$89,'Rohdaten Pipeline'!$A$2:$A$89,$A59),"")</f>
        <v>6</v>
      </c>
      <c r="H59" s="13" t="str">
        <f t="shared" si="1"/>
        <v/>
      </c>
    </row>
    <row r="60" spans="1:8" x14ac:dyDescent="0.25">
      <c r="A60" s="10" t="s">
        <v>233</v>
      </c>
      <c r="B60" s="11">
        <f>COUNTIFS('Rohdaten AMM'!$A$2:$A$194,$A60)</f>
        <v>1</v>
      </c>
      <c r="C60" s="12">
        <f>IFERROR(AVERAGEIFS('Rohdaten AMM'!$C$2:$C$194,'Rohdaten AMM'!$A$2:$A$194,$A60),"")</f>
        <v>6</v>
      </c>
      <c r="D60" s="11">
        <f t="array" ref="D60">MEDIAN(IF('Rohdaten AMM'!$A$2:$A$194=$A60,'Rohdaten AMM'!$C$2:$C$194))</f>
        <v>6</v>
      </c>
      <c r="E60" s="11">
        <f>_xlfn.MAXIFS('Rohdaten AMM'!$C$2:$C$194,'Rohdaten AMM'!$A$2:$A$194,$A60)</f>
        <v>6</v>
      </c>
      <c r="F60" s="11">
        <f>COUNTIFS('Rohdaten Pipeline'!$A$2:$A$89,$A60)</f>
        <v>2</v>
      </c>
      <c r="G60" s="12">
        <f>IFERROR(AVERAGEIFS('Rohdaten Pipeline'!$C$2:$C$89,'Rohdaten Pipeline'!$A$2:$A$89,$A60),"")</f>
        <v>9</v>
      </c>
      <c r="H60" s="13" t="str">
        <f t="shared" si="1"/>
        <v/>
      </c>
    </row>
    <row r="61" spans="1:8" x14ac:dyDescent="0.25">
      <c r="A61" s="10" t="s">
        <v>160</v>
      </c>
      <c r="B61" s="11">
        <f>COUNTIFS('Rohdaten AMM'!$A$2:$A$194,$A61)</f>
        <v>2</v>
      </c>
      <c r="C61" s="12">
        <f>IFERROR(AVERAGEIFS('Rohdaten AMM'!$C$2:$C$194,'Rohdaten AMM'!$A$2:$A$194,$A61),"")</f>
        <v>5.5</v>
      </c>
      <c r="D61" s="11">
        <f t="array" ref="D61">MEDIAN(IF('Rohdaten AMM'!$A$2:$A$194=$A61,'Rohdaten AMM'!$C$2:$C$194))</f>
        <v>5.5</v>
      </c>
      <c r="E61" s="11">
        <f>_xlfn.MAXIFS('Rohdaten AMM'!$C$2:$C$194,'Rohdaten AMM'!$A$2:$A$194,$A61)</f>
        <v>8</v>
      </c>
      <c r="F61" s="11">
        <f>COUNTIFS('Rohdaten Pipeline'!$A$2:$A$89,$A61)</f>
        <v>1</v>
      </c>
      <c r="G61" s="12">
        <f>IFERROR(AVERAGEIFS('Rohdaten Pipeline'!$C$2:$C$89,'Rohdaten Pipeline'!$A$2:$A$89,$A61),"")</f>
        <v>6</v>
      </c>
      <c r="H61" s="13" t="str">
        <f t="shared" si="1"/>
        <v/>
      </c>
    </row>
    <row r="62" spans="1:8" x14ac:dyDescent="0.25">
      <c r="A62" s="10" t="s">
        <v>124</v>
      </c>
      <c r="B62" s="11">
        <f>COUNTIFS('Rohdaten AMM'!$A$2:$A$194,$A62)</f>
        <v>3</v>
      </c>
      <c r="C62" s="12">
        <f>IFERROR(AVERAGEIFS('Rohdaten AMM'!$C$2:$C$194,'Rohdaten AMM'!$A$2:$A$194,$A62),"")</f>
        <v>5.333333333333333</v>
      </c>
      <c r="D62" s="11">
        <f t="array" ref="D62">MEDIAN(IF('Rohdaten AMM'!$A$2:$A$194=$A62,'Rohdaten AMM'!$C$2:$C$194))</f>
        <v>7</v>
      </c>
      <c r="E62" s="11">
        <f>_xlfn.MAXIFS('Rohdaten AMM'!$C$2:$C$194,'Rohdaten AMM'!$A$2:$A$194,$A62)</f>
        <v>7</v>
      </c>
      <c r="F62" s="11">
        <f>COUNTIFS('Rohdaten Pipeline'!$A$2:$A$89,$A62)</f>
        <v>1</v>
      </c>
      <c r="G62" s="12">
        <f>IFERROR(AVERAGEIFS('Rohdaten Pipeline'!$C$2:$C$89,'Rohdaten Pipeline'!$A$2:$A$89,$A62),"")</f>
        <v>11</v>
      </c>
      <c r="H62" s="13" t="str">
        <f t="shared" si="1"/>
        <v/>
      </c>
    </row>
    <row r="63" spans="1:8" x14ac:dyDescent="0.25">
      <c r="A63" s="10" t="s">
        <v>59</v>
      </c>
      <c r="B63" s="11">
        <f>COUNTIFS('Rohdaten AMM'!$A$2:$A$194,$A63)</f>
        <v>2</v>
      </c>
      <c r="C63" s="12">
        <f>IFERROR(AVERAGEIFS('Rohdaten AMM'!$C$2:$C$194,'Rohdaten AMM'!$A$2:$A$194,$A63),"")</f>
        <v>5</v>
      </c>
      <c r="D63" s="11">
        <f t="array" ref="D63">MEDIAN(IF('Rohdaten AMM'!$A$2:$A$194=$A63,'Rohdaten AMM'!$C$2:$C$194))</f>
        <v>5</v>
      </c>
      <c r="E63" s="11">
        <f>_xlfn.MAXIFS('Rohdaten AMM'!$C$2:$C$194,'Rohdaten AMM'!$A$2:$A$194,$A63)</f>
        <v>7</v>
      </c>
      <c r="F63" s="11">
        <f>COUNTIFS('Rohdaten Pipeline'!$A$2:$A$89,$A63)</f>
        <v>2</v>
      </c>
      <c r="G63" s="12">
        <f>IFERROR(AVERAGEIFS('Rohdaten Pipeline'!$C$2:$C$89,'Rohdaten Pipeline'!$A$2:$A$89,$A63),"")</f>
        <v>7.5</v>
      </c>
      <c r="H63" s="13" t="str">
        <f t="shared" si="1"/>
        <v/>
      </c>
    </row>
    <row r="64" spans="1:8" x14ac:dyDescent="0.25">
      <c r="A64" s="10" t="s">
        <v>134</v>
      </c>
      <c r="B64" s="11">
        <f>COUNTIFS('Rohdaten AMM'!$A$2:$A$194,$A64)</f>
        <v>1</v>
      </c>
      <c r="C64" s="12">
        <f>IFERROR(AVERAGEIFS('Rohdaten AMM'!$C$2:$C$194,'Rohdaten AMM'!$A$2:$A$194,$A64),"")</f>
        <v>5</v>
      </c>
      <c r="D64" s="11">
        <f t="array" ref="D64">MEDIAN(IF('Rohdaten AMM'!$A$2:$A$194=$A64,'Rohdaten AMM'!$C$2:$C$194))</f>
        <v>5</v>
      </c>
      <c r="E64" s="11">
        <f>_xlfn.MAXIFS('Rohdaten AMM'!$C$2:$C$194,'Rohdaten AMM'!$A$2:$A$194,$A64)</f>
        <v>5</v>
      </c>
      <c r="F64" s="11">
        <f>COUNTIFS('Rohdaten Pipeline'!$A$2:$A$89,$A64)</f>
        <v>0</v>
      </c>
      <c r="G64" s="12" t="str">
        <f>IFERROR(AVERAGEIFS('Rohdaten Pipeline'!$C$2:$C$89,'Rohdaten Pipeline'!$A$2:$A$89,$A64),"")</f>
        <v/>
      </c>
      <c r="H64" s="13" t="str">
        <f t="shared" si="1"/>
        <v/>
      </c>
    </row>
    <row r="65" spans="1:8" x14ac:dyDescent="0.25">
      <c r="A65" s="10" t="s">
        <v>174</v>
      </c>
      <c r="B65" s="11">
        <f>COUNTIFS('Rohdaten AMM'!$A$2:$A$194,$A65)</f>
        <v>2</v>
      </c>
      <c r="C65" s="12">
        <f>IFERROR(AVERAGEIFS('Rohdaten AMM'!$C$2:$C$194,'Rohdaten AMM'!$A$2:$A$194,$A65),"")</f>
        <v>9.5</v>
      </c>
      <c r="D65" s="11">
        <f t="array" ref="D65">MEDIAN(IF('Rohdaten AMM'!$A$2:$A$194=$A65,'Rohdaten AMM'!$C$2:$C$194))</f>
        <v>9.5</v>
      </c>
      <c r="E65" s="11">
        <f>_xlfn.MAXIFS('Rohdaten AMM'!$C$2:$C$194,'Rohdaten AMM'!$A$2:$A$194,$A65)</f>
        <v>14</v>
      </c>
      <c r="F65" s="11">
        <f>COUNTIFS('Rohdaten Pipeline'!$A$2:$A$89,$A65)</f>
        <v>0</v>
      </c>
      <c r="G65" s="12" t="str">
        <f>IFERROR(AVERAGEIFS('Rohdaten Pipeline'!$C$2:$C$89,'Rohdaten Pipeline'!$A$2:$A$89,$A65),"")</f>
        <v/>
      </c>
      <c r="H65" s="13" t="str">
        <f t="shared" si="1"/>
        <v/>
      </c>
    </row>
    <row r="66" spans="1:8" x14ac:dyDescent="0.25">
      <c r="A66" s="10" t="s">
        <v>201</v>
      </c>
      <c r="B66" s="11">
        <f>COUNTIFS('Rohdaten AMM'!$A$2:$A$194,$A66)</f>
        <v>2</v>
      </c>
      <c r="C66" s="12">
        <f>IFERROR(AVERAGEIFS('Rohdaten AMM'!$C$2:$C$194,'Rohdaten AMM'!$A$2:$A$194,$A66),"")</f>
        <v>5</v>
      </c>
      <c r="D66" s="11">
        <f t="array" ref="D66">MEDIAN(IF('Rohdaten AMM'!$A$2:$A$194=$A66,'Rohdaten AMM'!$C$2:$C$194))</f>
        <v>5</v>
      </c>
      <c r="E66" s="11">
        <f>_xlfn.MAXIFS('Rohdaten AMM'!$C$2:$C$194,'Rohdaten AMM'!$A$2:$A$194,$A66)</f>
        <v>5</v>
      </c>
      <c r="F66" s="11">
        <f>COUNTIFS('Rohdaten Pipeline'!$A$2:$A$89,$A66)</f>
        <v>0</v>
      </c>
      <c r="G66" s="12" t="str">
        <f>IFERROR(AVERAGEIFS('Rohdaten Pipeline'!$C$2:$C$89,'Rohdaten Pipeline'!$A$2:$A$89,$A66),"")</f>
        <v/>
      </c>
      <c r="H66" s="13" t="str">
        <f t="shared" si="1"/>
        <v/>
      </c>
    </row>
    <row r="67" spans="1:8" x14ac:dyDescent="0.25">
      <c r="A67" s="10" t="s">
        <v>251</v>
      </c>
      <c r="B67" s="11">
        <f>COUNTIFS('Rohdaten AMM'!$A$2:$A$194,$A67)</f>
        <v>1</v>
      </c>
      <c r="C67" s="12">
        <f>IFERROR(AVERAGEIFS('Rohdaten AMM'!$C$2:$C$194,'Rohdaten AMM'!$A$2:$A$194,$A67),"")</f>
        <v>5</v>
      </c>
      <c r="D67" s="11">
        <f t="array" ref="D67">MEDIAN(IF('Rohdaten AMM'!$A$2:$A$194=$A67,'Rohdaten AMM'!$C$2:$C$194))</f>
        <v>5</v>
      </c>
      <c r="E67" s="11">
        <f>_xlfn.MAXIFS('Rohdaten AMM'!$C$2:$C$194,'Rohdaten AMM'!$A$2:$A$194,$A67)</f>
        <v>5</v>
      </c>
      <c r="F67" s="11">
        <f>COUNTIFS('Rohdaten Pipeline'!$A$2:$A$89,$A67)</f>
        <v>0</v>
      </c>
      <c r="G67" s="12" t="str">
        <f>IFERROR(AVERAGEIFS('Rohdaten Pipeline'!$C$2:$C$89,'Rohdaten Pipeline'!$A$2:$A$89,$A67),"")</f>
        <v/>
      </c>
      <c r="H67" s="13" t="str">
        <f t="shared" si="1"/>
        <v/>
      </c>
    </row>
    <row r="68" spans="1:8" x14ac:dyDescent="0.25">
      <c r="A68" s="10" t="s">
        <v>186</v>
      </c>
      <c r="B68" s="11">
        <f>COUNTIFS('Rohdaten AMM'!$A$2:$A$194,$A68)</f>
        <v>2</v>
      </c>
      <c r="C68" s="12">
        <f>IFERROR(AVERAGEIFS('Rohdaten AMM'!$C$2:$C$194,'Rohdaten AMM'!$A$2:$A$194,$A68),"")</f>
        <v>4</v>
      </c>
      <c r="D68" s="11">
        <f t="array" ref="D68">MEDIAN(IF('Rohdaten AMM'!$A$2:$A$194=$A68,'Rohdaten AMM'!$C$2:$C$194))</f>
        <v>4</v>
      </c>
      <c r="E68" s="11">
        <f>_xlfn.MAXIFS('Rohdaten AMM'!$C$2:$C$194,'Rohdaten AMM'!$A$2:$A$194,$A68)</f>
        <v>6</v>
      </c>
      <c r="F68" s="11">
        <f>COUNTIFS('Rohdaten Pipeline'!$A$2:$A$89,$A68)</f>
        <v>0</v>
      </c>
      <c r="G68" s="12" t="str">
        <f>IFERROR(AVERAGEIFS('Rohdaten Pipeline'!$C$2:$C$89,'Rohdaten Pipeline'!$A$2:$A$89,$A68),"")</f>
        <v/>
      </c>
      <c r="H68" s="13" t="str">
        <f t="shared" si="1"/>
        <v/>
      </c>
    </row>
    <row r="69" spans="1:8" x14ac:dyDescent="0.25">
      <c r="A69" s="10" t="s">
        <v>247</v>
      </c>
      <c r="B69" s="11">
        <f>COUNTIFS('Rohdaten AMM'!$A$2:$A$194,$A69)</f>
        <v>1</v>
      </c>
      <c r="C69" s="12">
        <f>IFERROR(AVERAGEIFS('Rohdaten AMM'!$C$2:$C$194,'Rohdaten AMM'!$A$2:$A$194,$A69),"")</f>
        <v>4</v>
      </c>
      <c r="D69" s="11">
        <f t="array" ref="D69">MEDIAN(IF('Rohdaten AMM'!$A$2:$A$194=$A69,'Rohdaten AMM'!$C$2:$C$194))</f>
        <v>4</v>
      </c>
      <c r="E69" s="11">
        <f>_xlfn.MAXIFS('Rohdaten AMM'!$C$2:$C$194,'Rohdaten AMM'!$A$2:$A$194,$A69)</f>
        <v>4</v>
      </c>
      <c r="F69" s="11">
        <f>COUNTIFS('Rohdaten Pipeline'!$A$2:$A$89,$A69)</f>
        <v>0</v>
      </c>
      <c r="G69" s="12" t="str">
        <f>IFERROR(AVERAGEIFS('Rohdaten Pipeline'!$C$2:$C$89,'Rohdaten Pipeline'!$A$2:$A$89,$A69),"")</f>
        <v/>
      </c>
      <c r="H69" s="13" t="str">
        <f t="shared" ref="H69:H83" si="2">IF($E69&gt;=45,"Ausreißer prüfen — Storno oder Vorkasse-Wartezeit?",IF($C69&gt;=20,"überdurchschnittlich langsam",""))</f>
        <v/>
      </c>
    </row>
    <row r="70" spans="1:8" x14ac:dyDescent="0.25">
      <c r="A70" s="10" t="s">
        <v>188</v>
      </c>
      <c r="B70" s="11">
        <f>COUNTIFS('Rohdaten AMM'!$A$2:$A$194,$A70)</f>
        <v>2</v>
      </c>
      <c r="C70" s="12">
        <f>IFERROR(AVERAGEIFS('Rohdaten AMM'!$C$2:$C$194,'Rohdaten AMM'!$A$2:$A$194,$A70),"")</f>
        <v>3.5</v>
      </c>
      <c r="D70" s="11">
        <f t="array" ref="D70">MEDIAN(IF('Rohdaten AMM'!$A$2:$A$194=$A70,'Rohdaten AMM'!$C$2:$C$194))</f>
        <v>3.5</v>
      </c>
      <c r="E70" s="11">
        <f>_xlfn.MAXIFS('Rohdaten AMM'!$C$2:$C$194,'Rohdaten AMM'!$A$2:$A$194,$A70)</f>
        <v>6</v>
      </c>
      <c r="F70" s="11">
        <f>COUNTIFS('Rohdaten Pipeline'!$A$2:$A$89,$A70)</f>
        <v>0</v>
      </c>
      <c r="G70" s="12" t="str">
        <f>IFERROR(AVERAGEIFS('Rohdaten Pipeline'!$C$2:$C$89,'Rohdaten Pipeline'!$A$2:$A$89,$A70),"")</f>
        <v/>
      </c>
      <c r="H70" s="13" t="str">
        <f t="shared" si="2"/>
        <v/>
      </c>
    </row>
    <row r="71" spans="1:8" x14ac:dyDescent="0.25">
      <c r="A71" s="10" t="s">
        <v>193</v>
      </c>
      <c r="B71" s="11">
        <f>COUNTIFS('Rohdaten AMM'!$A$2:$A$194,$A71)</f>
        <v>2</v>
      </c>
      <c r="C71" s="12">
        <f>IFERROR(AVERAGEIFS('Rohdaten AMM'!$C$2:$C$194,'Rohdaten AMM'!$A$2:$A$194,$A71),"")</f>
        <v>3.5</v>
      </c>
      <c r="D71" s="11">
        <f t="array" ref="D71">MEDIAN(IF('Rohdaten AMM'!$A$2:$A$194=$A71,'Rohdaten AMM'!$C$2:$C$194))</f>
        <v>3.5</v>
      </c>
      <c r="E71" s="11">
        <f>_xlfn.MAXIFS('Rohdaten AMM'!$C$2:$C$194,'Rohdaten AMM'!$A$2:$A$194,$A71)</f>
        <v>5</v>
      </c>
      <c r="F71" s="11">
        <f>COUNTIFS('Rohdaten Pipeline'!$A$2:$A$89,$A71)</f>
        <v>0</v>
      </c>
      <c r="G71" s="12" t="str">
        <f>IFERROR(AVERAGEIFS('Rohdaten Pipeline'!$C$2:$C$89,'Rohdaten Pipeline'!$A$2:$A$89,$A71),"")</f>
        <v/>
      </c>
      <c r="H71" s="13" t="str">
        <f t="shared" si="2"/>
        <v/>
      </c>
    </row>
    <row r="72" spans="1:8" x14ac:dyDescent="0.25">
      <c r="A72" s="10" t="s">
        <v>55</v>
      </c>
      <c r="B72" s="11">
        <f>COUNTIFS('Rohdaten AMM'!$A$2:$A$194,$A72)</f>
        <v>6</v>
      </c>
      <c r="C72" s="12">
        <f>IFERROR(AVERAGEIFS('Rohdaten AMM'!$C$2:$C$194,'Rohdaten AMM'!$A$2:$A$194,$A72),"")</f>
        <v>3.3333333333333335</v>
      </c>
      <c r="D72" s="11">
        <f t="array" ref="D72">MEDIAN(IF('Rohdaten AMM'!$A$2:$A$194=$A72,'Rohdaten AMM'!$C$2:$C$194))</f>
        <v>3</v>
      </c>
      <c r="E72" s="11">
        <f>_xlfn.MAXIFS('Rohdaten AMM'!$C$2:$C$194,'Rohdaten AMM'!$A$2:$A$194,$A72)</f>
        <v>8</v>
      </c>
      <c r="F72" s="11">
        <f>COUNTIFS('Rohdaten Pipeline'!$A$2:$A$89,$A72)</f>
        <v>0</v>
      </c>
      <c r="G72" s="12" t="str">
        <f>IFERROR(AVERAGEIFS('Rohdaten Pipeline'!$C$2:$C$89,'Rohdaten Pipeline'!$A$2:$A$89,$A72),"")</f>
        <v/>
      </c>
      <c r="H72" s="13" t="str">
        <f t="shared" si="2"/>
        <v/>
      </c>
    </row>
    <row r="73" spans="1:8" x14ac:dyDescent="0.25">
      <c r="A73" s="10" t="s">
        <v>178</v>
      </c>
      <c r="B73" s="11">
        <f>COUNTIFS('Rohdaten AMM'!$A$2:$A$194,$A73)</f>
        <v>1</v>
      </c>
      <c r="C73" s="12">
        <f>IFERROR(AVERAGEIFS('Rohdaten AMM'!$C$2:$C$194,'Rohdaten AMM'!$A$2:$A$194,$A73),"")</f>
        <v>3</v>
      </c>
      <c r="D73" s="11">
        <f t="array" ref="D73">MEDIAN(IF('Rohdaten AMM'!$A$2:$A$194=$A73,'Rohdaten AMM'!$C$2:$C$194))</f>
        <v>3</v>
      </c>
      <c r="E73" s="11">
        <f>_xlfn.MAXIFS('Rohdaten AMM'!$C$2:$C$194,'Rohdaten AMM'!$A$2:$A$194,$A73)</f>
        <v>3</v>
      </c>
      <c r="F73" s="11">
        <f>COUNTIFS('Rohdaten Pipeline'!$A$2:$A$89,$A73)</f>
        <v>0</v>
      </c>
      <c r="G73" s="12" t="str">
        <f>IFERROR(AVERAGEIFS('Rohdaten Pipeline'!$C$2:$C$89,'Rohdaten Pipeline'!$A$2:$A$89,$A73),"")</f>
        <v/>
      </c>
      <c r="H73" s="13" t="str">
        <f t="shared" si="2"/>
        <v/>
      </c>
    </row>
    <row r="74" spans="1:8" x14ac:dyDescent="0.25">
      <c r="A74" s="10" t="s">
        <v>64</v>
      </c>
      <c r="B74" s="11">
        <f>COUNTIFS('Rohdaten AMM'!$A$2:$A$194,$A74)</f>
        <v>1</v>
      </c>
      <c r="C74" s="12">
        <f>IFERROR(AVERAGEIFS('Rohdaten AMM'!$C$2:$C$194,'Rohdaten AMM'!$A$2:$A$194,$A74),"")</f>
        <v>2</v>
      </c>
      <c r="D74" s="11">
        <f t="array" ref="D74">MEDIAN(IF('Rohdaten AMM'!$A$2:$A$194=$A74,'Rohdaten AMM'!$C$2:$C$194))</f>
        <v>2</v>
      </c>
      <c r="E74" s="11">
        <f>_xlfn.MAXIFS('Rohdaten AMM'!$C$2:$C$194,'Rohdaten AMM'!$A$2:$A$194,$A74)</f>
        <v>2</v>
      </c>
      <c r="F74" s="11">
        <f>COUNTIFS('Rohdaten Pipeline'!$A$2:$A$89,$A74)</f>
        <v>0</v>
      </c>
      <c r="G74" s="12" t="str">
        <f>IFERROR(AVERAGEIFS('Rohdaten Pipeline'!$C$2:$C$89,'Rohdaten Pipeline'!$A$2:$A$89,$A74),"")</f>
        <v/>
      </c>
      <c r="H74" s="13" t="str">
        <f t="shared" si="2"/>
        <v/>
      </c>
    </row>
    <row r="75" spans="1:8" x14ac:dyDescent="0.25">
      <c r="A75" s="10" t="s">
        <v>138</v>
      </c>
      <c r="B75" s="11">
        <f>COUNTIFS('Rohdaten AMM'!$A$2:$A$194,$A75)</f>
        <v>1</v>
      </c>
      <c r="C75" s="12">
        <f>IFERROR(AVERAGEIFS('Rohdaten AMM'!$C$2:$C$194,'Rohdaten AMM'!$A$2:$A$194,$A75),"")</f>
        <v>2</v>
      </c>
      <c r="D75" s="11">
        <f t="array" ref="D75">MEDIAN(IF('Rohdaten AMM'!$A$2:$A$194=$A75,'Rohdaten AMM'!$C$2:$C$194))</f>
        <v>2</v>
      </c>
      <c r="E75" s="11">
        <f>_xlfn.MAXIFS('Rohdaten AMM'!$C$2:$C$194,'Rohdaten AMM'!$A$2:$A$194,$A75)</f>
        <v>2</v>
      </c>
      <c r="F75" s="11">
        <f>COUNTIFS('Rohdaten Pipeline'!$A$2:$A$89,$A75)</f>
        <v>0</v>
      </c>
      <c r="G75" s="12" t="str">
        <f>IFERROR(AVERAGEIFS('Rohdaten Pipeline'!$C$2:$C$89,'Rohdaten Pipeline'!$A$2:$A$89,$A75),"")</f>
        <v/>
      </c>
      <c r="H75" s="13" t="str">
        <f t="shared" si="2"/>
        <v/>
      </c>
    </row>
    <row r="76" spans="1:8" x14ac:dyDescent="0.25">
      <c r="A76" s="10" t="s">
        <v>153</v>
      </c>
      <c r="B76" s="11">
        <f>COUNTIFS('Rohdaten AMM'!$A$2:$A$194,$A76)</f>
        <v>3</v>
      </c>
      <c r="C76" s="12">
        <f>IFERROR(AVERAGEIFS('Rohdaten AMM'!$C$2:$C$194,'Rohdaten AMM'!$A$2:$A$194,$A76),"")</f>
        <v>2</v>
      </c>
      <c r="D76" s="11">
        <f t="array" ref="D76">MEDIAN(IF('Rohdaten AMM'!$A$2:$A$194=$A76,'Rohdaten AMM'!$C$2:$C$194))</f>
        <v>3</v>
      </c>
      <c r="E76" s="11">
        <f>_xlfn.MAXIFS('Rohdaten AMM'!$C$2:$C$194,'Rohdaten AMM'!$A$2:$A$194,$A76)</f>
        <v>3</v>
      </c>
      <c r="F76" s="11">
        <f>COUNTIFS('Rohdaten Pipeline'!$A$2:$A$89,$A76)</f>
        <v>0</v>
      </c>
      <c r="G76" s="12" t="str">
        <f>IFERROR(AVERAGEIFS('Rohdaten Pipeline'!$C$2:$C$89,'Rohdaten Pipeline'!$A$2:$A$89,$A76),"")</f>
        <v/>
      </c>
      <c r="H76" s="13" t="str">
        <f t="shared" si="2"/>
        <v/>
      </c>
    </row>
    <row r="77" spans="1:8" x14ac:dyDescent="0.25">
      <c r="A77" s="10" t="s">
        <v>214</v>
      </c>
      <c r="B77" s="11">
        <f>COUNTIFS('Rohdaten AMM'!$A$2:$A$194,$A77)</f>
        <v>1</v>
      </c>
      <c r="C77" s="12">
        <f>IFERROR(AVERAGEIFS('Rohdaten AMM'!$C$2:$C$194,'Rohdaten AMM'!$A$2:$A$194,$A77),"")</f>
        <v>2</v>
      </c>
      <c r="D77" s="11">
        <f t="array" ref="D77">MEDIAN(IF('Rohdaten AMM'!$A$2:$A$194=$A77,'Rohdaten AMM'!$C$2:$C$194))</f>
        <v>2</v>
      </c>
      <c r="E77" s="11">
        <f>_xlfn.MAXIFS('Rohdaten AMM'!$C$2:$C$194,'Rohdaten AMM'!$A$2:$A$194,$A77)</f>
        <v>2</v>
      </c>
      <c r="F77" s="11">
        <f>COUNTIFS('Rohdaten Pipeline'!$A$2:$A$89,$A77)</f>
        <v>0</v>
      </c>
      <c r="G77" s="12" t="str">
        <f>IFERROR(AVERAGEIFS('Rohdaten Pipeline'!$C$2:$C$89,'Rohdaten Pipeline'!$A$2:$A$89,$A77),"")</f>
        <v/>
      </c>
      <c r="H77" s="13" t="str">
        <f t="shared" si="2"/>
        <v/>
      </c>
    </row>
    <row r="78" spans="1:8" x14ac:dyDescent="0.25">
      <c r="A78" s="10" t="s">
        <v>216</v>
      </c>
      <c r="B78" s="11">
        <f>COUNTIFS('Rohdaten AMM'!$A$2:$A$194,$A78)</f>
        <v>1</v>
      </c>
      <c r="C78" s="12">
        <f>IFERROR(AVERAGEIFS('Rohdaten AMM'!$C$2:$C$194,'Rohdaten AMM'!$A$2:$A$194,$A78),"")</f>
        <v>2</v>
      </c>
      <c r="D78" s="11">
        <f t="array" ref="D78">MEDIAN(IF('Rohdaten AMM'!$A$2:$A$194=$A78,'Rohdaten AMM'!$C$2:$C$194))</f>
        <v>2</v>
      </c>
      <c r="E78" s="11">
        <f>_xlfn.MAXIFS('Rohdaten AMM'!$C$2:$C$194,'Rohdaten AMM'!$A$2:$A$194,$A78)</f>
        <v>2</v>
      </c>
      <c r="F78" s="11">
        <f>COUNTIFS('Rohdaten Pipeline'!$A$2:$A$89,$A78)</f>
        <v>0</v>
      </c>
      <c r="G78" s="12" t="str">
        <f>IFERROR(AVERAGEIFS('Rohdaten Pipeline'!$C$2:$C$89,'Rohdaten Pipeline'!$A$2:$A$89,$A78),"")</f>
        <v/>
      </c>
      <c r="H78" s="13" t="str">
        <f t="shared" si="2"/>
        <v/>
      </c>
    </row>
    <row r="79" spans="1:8" x14ac:dyDescent="0.25">
      <c r="A79" s="10" t="s">
        <v>223</v>
      </c>
      <c r="B79" s="11">
        <f>COUNTIFS('Rohdaten AMM'!$A$2:$A$194,$A79)</f>
        <v>1</v>
      </c>
      <c r="C79" s="12">
        <f>IFERROR(AVERAGEIFS('Rohdaten AMM'!$C$2:$C$194,'Rohdaten AMM'!$A$2:$A$194,$A79),"")</f>
        <v>2</v>
      </c>
      <c r="D79" s="11">
        <f t="array" ref="D79">MEDIAN(IF('Rohdaten AMM'!$A$2:$A$194=$A79,'Rohdaten AMM'!$C$2:$C$194))</f>
        <v>2</v>
      </c>
      <c r="E79" s="11">
        <f>_xlfn.MAXIFS('Rohdaten AMM'!$C$2:$C$194,'Rohdaten AMM'!$A$2:$A$194,$A79)</f>
        <v>2</v>
      </c>
      <c r="F79" s="11">
        <f>COUNTIFS('Rohdaten Pipeline'!$A$2:$A$89,$A79)</f>
        <v>0</v>
      </c>
      <c r="G79" s="12" t="str">
        <f>IFERROR(AVERAGEIFS('Rohdaten Pipeline'!$C$2:$C$89,'Rohdaten Pipeline'!$A$2:$A$89,$A79),"")</f>
        <v/>
      </c>
      <c r="H79" s="13" t="str">
        <f t="shared" si="2"/>
        <v/>
      </c>
    </row>
    <row r="80" spans="1:8" x14ac:dyDescent="0.25">
      <c r="A80" s="10" t="s">
        <v>230</v>
      </c>
      <c r="B80" s="11">
        <f>COUNTIFS('Rohdaten AMM'!$A$2:$A$194,$A80)</f>
        <v>1</v>
      </c>
      <c r="C80" s="12">
        <f>IFERROR(AVERAGEIFS('Rohdaten AMM'!$C$2:$C$194,'Rohdaten AMM'!$A$2:$A$194,$A80),"")</f>
        <v>2</v>
      </c>
      <c r="D80" s="11">
        <f t="array" ref="D80">MEDIAN(IF('Rohdaten AMM'!$A$2:$A$194=$A80,'Rohdaten AMM'!$C$2:$C$194))</f>
        <v>2</v>
      </c>
      <c r="E80" s="11">
        <f>_xlfn.MAXIFS('Rohdaten AMM'!$C$2:$C$194,'Rohdaten AMM'!$A$2:$A$194,$A80)</f>
        <v>2</v>
      </c>
      <c r="F80" s="11">
        <f>COUNTIFS('Rohdaten Pipeline'!$A$2:$A$89,$A80)</f>
        <v>0</v>
      </c>
      <c r="G80" s="12" t="str">
        <f>IFERROR(AVERAGEIFS('Rohdaten Pipeline'!$C$2:$C$89,'Rohdaten Pipeline'!$A$2:$A$89,$A80),"")</f>
        <v/>
      </c>
      <c r="H80" s="13" t="str">
        <f t="shared" si="2"/>
        <v/>
      </c>
    </row>
    <row r="81" spans="1:8" x14ac:dyDescent="0.25">
      <c r="A81" s="10" t="s">
        <v>269</v>
      </c>
      <c r="B81" s="11">
        <f>COUNTIFS('Rohdaten AMM'!$A$2:$A$194,$A81)</f>
        <v>1</v>
      </c>
      <c r="C81" s="12">
        <f>IFERROR(AVERAGEIFS('Rohdaten AMM'!$C$2:$C$194,'Rohdaten AMM'!$A$2:$A$194,$A81),"")</f>
        <v>2</v>
      </c>
      <c r="D81" s="11">
        <f t="array" ref="D81">MEDIAN(IF('Rohdaten AMM'!$A$2:$A$194=$A81,'Rohdaten AMM'!$C$2:$C$194))</f>
        <v>2</v>
      </c>
      <c r="E81" s="11">
        <f>_xlfn.MAXIFS('Rohdaten AMM'!$C$2:$C$194,'Rohdaten AMM'!$A$2:$A$194,$A81)</f>
        <v>2</v>
      </c>
      <c r="F81" s="11">
        <f>COUNTIFS('Rohdaten Pipeline'!$A$2:$A$89,$A81)</f>
        <v>0</v>
      </c>
      <c r="G81" s="12" t="str">
        <f>IFERROR(AVERAGEIFS('Rohdaten Pipeline'!$C$2:$C$89,'Rohdaten Pipeline'!$A$2:$A$89,$A81),"")</f>
        <v/>
      </c>
      <c r="H81" s="13" t="str">
        <f t="shared" si="2"/>
        <v/>
      </c>
    </row>
    <row r="82" spans="1:8" x14ac:dyDescent="0.25">
      <c r="A82" s="10" t="s">
        <v>76</v>
      </c>
      <c r="B82" s="11">
        <f>COUNTIFS('Rohdaten AMM'!$A$2:$A$194,$A82)</f>
        <v>1</v>
      </c>
      <c r="C82" s="12">
        <f>IFERROR(AVERAGEIFS('Rohdaten AMM'!$C$2:$C$194,'Rohdaten AMM'!$A$2:$A$194,$A82),"")</f>
        <v>1</v>
      </c>
      <c r="D82" s="11">
        <f t="array" ref="D82">MEDIAN(IF('Rohdaten AMM'!$A$2:$A$194=$A82,'Rohdaten AMM'!$C$2:$C$194))</f>
        <v>1</v>
      </c>
      <c r="E82" s="11">
        <f>_xlfn.MAXIFS('Rohdaten AMM'!$C$2:$C$194,'Rohdaten AMM'!$A$2:$A$194,$A82)</f>
        <v>1</v>
      </c>
      <c r="F82" s="11">
        <f>COUNTIFS('Rohdaten Pipeline'!$A$2:$A$89,$A82)</f>
        <v>1</v>
      </c>
      <c r="G82" s="12">
        <f>IFERROR(AVERAGEIFS('Rohdaten Pipeline'!$C$2:$C$89,'Rohdaten Pipeline'!$A$2:$A$89,$A82),"")</f>
        <v>8</v>
      </c>
      <c r="H82" s="13" t="str">
        <f t="shared" si="2"/>
        <v/>
      </c>
    </row>
    <row r="83" spans="1:8" x14ac:dyDescent="0.25">
      <c r="A83" s="10" t="s">
        <v>94</v>
      </c>
      <c r="B83" s="11">
        <f>COUNTIFS('Rohdaten AMM'!$A$2:$A$194,$A83)</f>
        <v>1</v>
      </c>
      <c r="C83" s="12">
        <f>IFERROR(AVERAGEIFS('Rohdaten AMM'!$C$2:$C$194,'Rohdaten AMM'!$A$2:$A$194,$A83),"")</f>
        <v>1</v>
      </c>
      <c r="D83" s="11">
        <f t="array" ref="D83">MEDIAN(IF('Rohdaten AMM'!$A$2:$A$194=$A83,'Rohdaten AMM'!$C$2:$C$194))</f>
        <v>1</v>
      </c>
      <c r="E83" s="11">
        <f>_xlfn.MAXIFS('Rohdaten AMM'!$C$2:$C$194,'Rohdaten AMM'!$A$2:$A$194,$A83)</f>
        <v>1</v>
      </c>
      <c r="F83" s="11">
        <f>COUNTIFS('Rohdaten Pipeline'!$A$2:$A$89,$A83)</f>
        <v>0</v>
      </c>
      <c r="G83" s="12" t="str">
        <f>IFERROR(AVERAGEIFS('Rohdaten Pipeline'!$C$2:$C$89,'Rohdaten Pipeline'!$A$2:$A$89,$A83),"")</f>
        <v/>
      </c>
      <c r="H83" s="13" t="str">
        <f t="shared" si="2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Übersicht</vt:lpstr>
      <vt:lpstr>Rohdaten AMM</vt:lpstr>
      <vt:lpstr>Rohdaten Pipeline</vt:lpstr>
      <vt:lpstr>Kundenliste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Dustin Eskofier</cp:lastModifiedBy>
  <dcterms:created xsi:type="dcterms:W3CDTF">2026-08-19T08:38:35Z</dcterms:created>
  <dcterms:modified xsi:type="dcterms:W3CDTF">2026-08-19T08:39:28Z</dcterms:modified>
</cp:coreProperties>
</file>